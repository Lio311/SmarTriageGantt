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filterPrivacy="1" codeName="ThisWorkbook"/>
  <xr:revisionPtr revIDLastSave="0" documentId="13_ncr:1_{C087BC64-F8E3-4C9D-B6B9-078282621969}" xr6:coauthVersionLast="47" xr6:coauthVersionMax="47" xr10:uidLastSave="{00000000-0000-0000-0000-000000000000}"/>
  <bookViews>
    <workbookView xWindow="-108" yWindow="-108" windowWidth="23256" windowHeight="12456" tabRatio="415" xr2:uid="{00000000-000D-0000-FFFF-FFFF00000000}"/>
  </bookViews>
  <sheets>
    <sheet name="Light" sheetId="17" r:id="rId1"/>
  </sheets>
  <definedNames>
    <definedName name="Project_Start" localSheetId="0">Light!$C$6</definedName>
    <definedName name="Project_Start">#REF!</definedName>
    <definedName name="Scrolling_Increment" localSheetId="0">Light!$C$7</definedName>
    <definedName name="Scrolling_Increment">#REF!</definedName>
    <definedName name="Today" localSheetId="0">TODAY()</definedName>
    <definedName name="_xlnm.Print_Titles" localSheetId="0">Light!$6:$9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2" i="17" l="1"/>
  <c r="E22" i="17" s="1"/>
  <c r="F39" i="17"/>
  <c r="E39" i="17" s="1"/>
  <c r="F42" i="17"/>
  <c r="E42" i="17" s="1"/>
  <c r="F41" i="17"/>
  <c r="E41" i="17" s="1"/>
  <c r="F40" i="17"/>
  <c r="E40" i="17" s="1"/>
  <c r="F36" i="17"/>
  <c r="E36" i="17" s="1"/>
  <c r="F34" i="17"/>
  <c r="F33" i="17"/>
  <c r="F27" i="17"/>
  <c r="E27" i="17" s="1"/>
  <c r="F24" i="17"/>
  <c r="E24" i="17" s="1"/>
  <c r="F23" i="17"/>
  <c r="E23" i="17" s="1"/>
  <c r="F20" i="17"/>
  <c r="E20" i="17" s="1"/>
  <c r="F21" i="17"/>
  <c r="E21" i="17" s="1"/>
  <c r="F19" i="17"/>
  <c r="E19" i="17" s="1"/>
  <c r="F18" i="17"/>
  <c r="E18" i="17" s="1"/>
  <c r="F17" i="17"/>
  <c r="E17" i="17" s="1"/>
  <c r="F16" i="17"/>
  <c r="E16" i="17" s="1"/>
  <c r="F15" i="17"/>
  <c r="E15" i="17" s="1"/>
  <c r="F12" i="17"/>
  <c r="E12" i="17" s="1"/>
  <c r="F13" i="17"/>
  <c r="E13" i="17" s="1"/>
  <c r="F14" i="17"/>
  <c r="E14" i="17" s="1"/>
  <c r="F11" i="17"/>
  <c r="J9" i="17"/>
  <c r="K9" i="17" s="1"/>
  <c r="L9" i="17" s="1"/>
  <c r="M9" i="17" s="1"/>
  <c r="N9" i="17" s="1"/>
  <c r="O9" i="17" s="1"/>
  <c r="F26" i="17" l="1"/>
  <c r="F25" i="17"/>
  <c r="E25" i="17" s="1"/>
  <c r="F38" i="17"/>
  <c r="E38" i="17" s="1"/>
  <c r="F35" i="17"/>
  <c r="E35" i="17" s="1"/>
  <c r="F37" i="17"/>
  <c r="E37" i="17" s="1"/>
  <c r="F28" i="17"/>
  <c r="E11" i="17"/>
  <c r="E26" i="17" l="1"/>
  <c r="F29" i="17"/>
  <c r="E29" i="17" s="1"/>
  <c r="E28" i="17"/>
  <c r="F30" i="17"/>
  <c r="F32" i="17" s="1"/>
  <c r="P9" i="17"/>
  <c r="Q9" i="17" s="1"/>
  <c r="R9" i="17" s="1"/>
  <c r="S9" i="17" s="1"/>
  <c r="T9" i="17" s="1"/>
  <c r="U9" i="17" s="1"/>
  <c r="V9" i="17" s="1"/>
  <c r="E30" i="17" l="1"/>
  <c r="F31" i="17"/>
  <c r="E31" i="17" s="1"/>
  <c r="E32" i="17"/>
  <c r="W9" i="17"/>
  <c r="X9" i="17" s="1"/>
  <c r="Y9" i="17" s="1"/>
  <c r="Z9" i="17" s="1"/>
  <c r="AA9" i="17" s="1"/>
  <c r="AB9" i="17" s="1"/>
  <c r="AC9" i="17" s="1"/>
  <c r="E34" i="17" l="1"/>
  <c r="E33" i="17"/>
  <c r="AD9" i="17"/>
  <c r="AE9" i="17" s="1"/>
  <c r="AF9" i="17" s="1"/>
  <c r="AG9" i="17" s="1"/>
  <c r="AH9" i="17" s="1"/>
  <c r="AI9" i="17" s="1"/>
  <c r="AJ9" i="17" s="1"/>
  <c r="AK9" i="17" l="1"/>
  <c r="AL9" i="17" s="1"/>
  <c r="AM9" i="17" s="1"/>
  <c r="AN9" i="17" s="1"/>
  <c r="AO9" i="17" s="1"/>
  <c r="AP9" i="17" s="1"/>
  <c r="AQ9" i="17" s="1"/>
  <c r="AR9" i="17" s="1"/>
  <c r="AS9" i="17" s="1"/>
  <c r="AT9" i="17" s="1"/>
  <c r="AU9" i="17" s="1"/>
  <c r="AV9" i="17" s="1"/>
  <c r="AW9" i="17" s="1"/>
  <c r="AX9" i="17" s="1"/>
  <c r="AY9" i="17" s="1"/>
  <c r="AZ9" i="17" s="1"/>
  <c r="BA9" i="17" s="1"/>
  <c r="BB9" i="17" s="1"/>
  <c r="BC9" i="17" s="1"/>
  <c r="BD9" i="17" s="1"/>
  <c r="BE9" i="17" s="1"/>
  <c r="BF9" i="17" s="1"/>
  <c r="BG9" i="17" s="1"/>
  <c r="BH9" i="17" s="1"/>
  <c r="BI9" i="17" s="1"/>
  <c r="BJ9" i="17" s="1"/>
  <c r="BK9" i="17" s="1"/>
  <c r="BL9" i="17" s="1"/>
  <c r="BM9" i="17" s="1"/>
  <c r="BN9" i="17" s="1"/>
  <c r="BO9" i="17" s="1"/>
  <c r="BP9" i="17" s="1"/>
  <c r="BQ9" i="17" s="1"/>
  <c r="BR9" i="17" s="1"/>
  <c r="BS9" i="17" s="1"/>
  <c r="BT9" i="17" s="1"/>
  <c r="BU9" i="17" s="1"/>
  <c r="BV9" i="17" s="1"/>
  <c r="BW9" i="17" s="1"/>
  <c r="BX9" i="17" s="1"/>
  <c r="BY9" i="17" s="1"/>
  <c r="BZ9" i="17" s="1"/>
  <c r="CA9" i="17" s="1"/>
  <c r="CB9" i="17" s="1"/>
  <c r="CC9" i="17" s="1"/>
  <c r="CD9" i="17" s="1"/>
  <c r="CE9" i="17" s="1"/>
  <c r="CF9" i="17" s="1"/>
  <c r="CG9" i="17" s="1"/>
  <c r="CH9" i="17" s="1"/>
  <c r="CI9" i="17" s="1"/>
  <c r="CJ9" i="17" s="1"/>
  <c r="CK9" i="17" s="1"/>
  <c r="CL9" i="17" s="1"/>
  <c r="CM9" i="17" s="1"/>
  <c r="CN9" i="17" s="1"/>
  <c r="CO9" i="17" s="1"/>
  <c r="CP9" i="17" s="1"/>
  <c r="CQ9" i="17" s="1"/>
  <c r="CR9" i="17" s="1"/>
  <c r="CS9" i="17" s="1"/>
  <c r="CT9" i="17" s="1"/>
  <c r="CU9" i="17" s="1"/>
  <c r="CV9" i="17" s="1"/>
  <c r="CW9" i="17" s="1"/>
  <c r="CX9" i="17" s="1"/>
  <c r="CY9" i="17" s="1"/>
  <c r="CZ9" i="17" s="1"/>
  <c r="DA9" i="17" s="1"/>
  <c r="DB9" i="17" s="1"/>
  <c r="DC9" i="17" s="1"/>
  <c r="DD9" i="17" s="1"/>
  <c r="DE9" i="17" s="1"/>
  <c r="DF9" i="17" s="1"/>
  <c r="DG9" i="17" s="1"/>
  <c r="DH9" i="17" s="1"/>
  <c r="DI9" i="17" s="1"/>
  <c r="DJ9" i="17" s="1"/>
  <c r="DK9" i="17" s="1"/>
  <c r="DL9" i="17" s="1"/>
  <c r="DM9" i="17" s="1"/>
  <c r="DN9" i="17" s="1"/>
  <c r="DO9" i="17" s="1"/>
  <c r="DP9" i="17" s="1"/>
  <c r="DQ9" i="17" s="1"/>
  <c r="DR9" i="17" s="1"/>
  <c r="DS9" i="17" s="1"/>
  <c r="DT9" i="17" s="1"/>
  <c r="DU9" i="17" s="1"/>
  <c r="DV9" i="17" s="1"/>
  <c r="DW9" i="17" s="1"/>
  <c r="DX9" i="17" s="1"/>
  <c r="DY9" i="17" s="1"/>
  <c r="DZ9" i="17" s="1"/>
  <c r="EA9" i="17" s="1"/>
  <c r="EB9" i="17" s="1"/>
  <c r="EC9" i="17" s="1"/>
  <c r="ED9" i="17" s="1"/>
  <c r="EE9" i="17" s="1"/>
  <c r="EF9" i="17" s="1"/>
  <c r="EG9" i="17" s="1"/>
  <c r="EH9" i="17" s="1"/>
  <c r="EI9" i="17" s="1"/>
  <c r="EJ9" i="17" s="1"/>
  <c r="EK9" i="17" s="1"/>
  <c r="EL9" i="17" s="1"/>
  <c r="EM9" i="17" s="1"/>
  <c r="EN9" i="17" s="1"/>
  <c r="EO9" i="17" s="1"/>
  <c r="EP9" i="17" s="1"/>
  <c r="EQ9" i="17" s="1"/>
  <c r="ER9" i="17" s="1"/>
  <c r="ES9" i="17" s="1"/>
  <c r="ET9" i="17" s="1"/>
  <c r="EU9" i="17" s="1"/>
  <c r="EV9" i="17" s="1"/>
  <c r="EW9" i="17" s="1"/>
  <c r="EX9" i="17" s="1"/>
  <c r="EY9" i="17" s="1"/>
  <c r="EZ9" i="17" s="1"/>
  <c r="FA9" i="17" s="1"/>
  <c r="FB9" i="17" s="1"/>
  <c r="FC9" i="17" s="1"/>
  <c r="FD9" i="17" s="1"/>
  <c r="FE9" i="17" s="1"/>
  <c r="FF9" i="17" s="1"/>
  <c r="FG9" i="17" s="1"/>
  <c r="FH9" i="17" s="1"/>
  <c r="FI9" i="17" s="1"/>
  <c r="FJ9" i="17" s="1"/>
  <c r="FK9" i="17" s="1"/>
  <c r="FL9" i="17" s="1"/>
  <c r="FM9" i="17" s="1"/>
  <c r="FN9" i="17" s="1"/>
  <c r="FO9" i="17" s="1"/>
  <c r="FP9" i="17" s="1"/>
  <c r="FQ9" i="17" s="1"/>
  <c r="FR9" i="17" s="1"/>
  <c r="FS9" i="17" s="1"/>
  <c r="FT9" i="17" s="1"/>
  <c r="FU9" i="17" s="1"/>
  <c r="FV9" i="17" s="1"/>
  <c r="FW9" i="17" s="1"/>
  <c r="FX9" i="17" s="1"/>
  <c r="FY9" i="17" s="1"/>
  <c r="FZ9" i="17" s="1"/>
  <c r="GA9" i="17" s="1"/>
  <c r="GB9" i="17" s="1"/>
  <c r="GC9" i="17" s="1"/>
  <c r="GD9" i="17" s="1"/>
  <c r="GE9" i="17" s="1"/>
  <c r="GF9" i="17" s="1"/>
  <c r="GG9" i="17" s="1"/>
  <c r="GH9" i="17" s="1"/>
  <c r="GI9" i="17" s="1"/>
  <c r="GJ9" i="17" s="1"/>
  <c r="GK9" i="17" s="1"/>
  <c r="GL9" i="17" s="1"/>
  <c r="GM9" i="17" s="1"/>
  <c r="GN9" i="17" s="1"/>
  <c r="GO9" i="17" s="1"/>
  <c r="GP9" i="17" s="1"/>
  <c r="GQ9" i="17" s="1"/>
  <c r="GR9" i="17" s="1"/>
  <c r="GS9" i="17" s="1"/>
  <c r="GT9" i="17" s="1"/>
  <c r="GU9" i="17" s="1"/>
  <c r="GV9" i="17" s="1"/>
  <c r="GW9" i="17" s="1"/>
  <c r="GX9" i="17" s="1"/>
  <c r="GY9" i="17" s="1"/>
  <c r="GZ9" i="17" s="1"/>
  <c r="HA9" i="17" s="1"/>
  <c r="HB9" i="17" s="1"/>
  <c r="HC9" i="17" s="1"/>
  <c r="HD9" i="17" s="1"/>
  <c r="HE9" i="17" s="1"/>
  <c r="HF9" i="17" s="1"/>
  <c r="HG9" i="17" s="1"/>
  <c r="HH9" i="17" s="1"/>
  <c r="HI9" i="17" s="1"/>
  <c r="HJ9" i="17" s="1"/>
  <c r="HK9" i="17" s="1"/>
  <c r="HL9" i="17" s="1"/>
  <c r="HM9" i="17" s="1"/>
  <c r="HN9" i="17" s="1"/>
  <c r="HO9" i="17" s="1"/>
  <c r="HP9" i="17" s="1"/>
  <c r="HQ9" i="17" s="1"/>
  <c r="HR9" i="17" s="1"/>
  <c r="HS9" i="17" s="1"/>
  <c r="HT9" i="17" s="1"/>
  <c r="HU9" i="17" s="1"/>
  <c r="HV9" i="17" s="1"/>
  <c r="HW9" i="17" s="1"/>
  <c r="HX9" i="17" s="1"/>
  <c r="HY9" i="17" s="1"/>
  <c r="HZ9" i="17" s="1"/>
  <c r="IA9" i="17" s="1"/>
  <c r="IB9" i="17" s="1"/>
  <c r="IC9" i="17" s="1"/>
  <c r="ID9" i="17" s="1"/>
  <c r="IE9" i="17" s="1"/>
  <c r="IF9" i="17" s="1"/>
  <c r="IG9" i="17" s="1"/>
  <c r="IH9" i="17" s="1"/>
  <c r="II9" i="17" s="1"/>
  <c r="IJ9" i="17" s="1"/>
  <c r="IK9" i="17" s="1"/>
  <c r="IL9" i="17" s="1"/>
  <c r="IM9" i="17" s="1"/>
  <c r="IN9" i="17" s="1"/>
  <c r="IO9" i="17" s="1"/>
  <c r="IP9" i="17" s="1"/>
  <c r="IQ9" i="17" s="1"/>
  <c r="IR9" i="17" s="1"/>
  <c r="IS9" i="17" s="1"/>
  <c r="IT9" i="17" s="1"/>
  <c r="IU9" i="17" s="1"/>
  <c r="IV9" i="17" s="1"/>
  <c r="IW9" i="17" s="1"/>
  <c r="IX9" i="17" s="1"/>
  <c r="IY9" i="17" s="1"/>
  <c r="IZ9" i="17" s="1"/>
  <c r="JA9" i="17" s="1"/>
  <c r="JB9" i="17" s="1"/>
  <c r="JC9" i="17" s="1"/>
  <c r="JD9" i="17" s="1"/>
  <c r="JE9" i="17" s="1"/>
  <c r="JF9" i="17" s="1"/>
  <c r="JG9" i="17" s="1"/>
  <c r="JH9" i="17" s="1"/>
  <c r="JI9" i="17" s="1"/>
  <c r="JJ9" i="17" s="1"/>
  <c r="JK9" i="17" s="1"/>
  <c r="JL9" i="17" s="1"/>
  <c r="JM9" i="17" s="1"/>
  <c r="JN9" i="17" s="1"/>
  <c r="JO9" i="17" s="1"/>
  <c r="JP9" i="17" s="1"/>
  <c r="JQ9" i="17" s="1"/>
  <c r="JR9" i="17" s="1"/>
  <c r="JS9" i="17" s="1"/>
  <c r="JT9" i="17" s="1"/>
  <c r="JU9" i="17" s="1"/>
  <c r="JV9" i="17" s="1"/>
  <c r="JW9" i="17" s="1"/>
  <c r="JX9" i="17" s="1"/>
  <c r="JY9" i="17" s="1"/>
  <c r="JZ9" i="17" s="1"/>
  <c r="KA9" i="17" s="1"/>
  <c r="KB9" i="17" s="1"/>
</calcChain>
</file>

<file path=xl/sharedStrings.xml><?xml version="1.0" encoding="utf-8"?>
<sst xmlns="http://schemas.openxmlformats.org/spreadsheetml/2006/main" count="163" uniqueCount="101">
  <si>
    <t>Legend:</t>
  </si>
  <si>
    <t>Project start date:</t>
  </si>
  <si>
    <t>Milestone description</t>
  </si>
  <si>
    <t>Category</t>
  </si>
  <si>
    <t>Assigned to</t>
  </si>
  <si>
    <t>Progress</t>
  </si>
  <si>
    <t>Start</t>
  </si>
  <si>
    <t>Days</t>
  </si>
  <si>
    <t>PROJECT: Smart Triage with AI</t>
  </si>
  <si>
    <t>October</t>
  </si>
  <si>
    <t>December</t>
  </si>
  <si>
    <t>January</t>
  </si>
  <si>
    <t>February</t>
  </si>
  <si>
    <t>March</t>
  </si>
  <si>
    <t>April</t>
  </si>
  <si>
    <t>May</t>
  </si>
  <si>
    <t>June</t>
  </si>
  <si>
    <t>November</t>
  </si>
  <si>
    <t>Week 1</t>
  </si>
  <si>
    <t>Week 2</t>
  </si>
  <si>
    <t>Week 3</t>
  </si>
  <si>
    <t>Week 4</t>
  </si>
  <si>
    <t>Week 5</t>
  </si>
  <si>
    <t>Tel Aviv University</t>
  </si>
  <si>
    <t>Lior &amp; Liniv</t>
  </si>
  <si>
    <t>Week 6</t>
  </si>
  <si>
    <t>Week 7</t>
  </si>
  <si>
    <t>Week 8</t>
  </si>
  <si>
    <t>Week 9</t>
  </si>
  <si>
    <t>Week 10</t>
  </si>
  <si>
    <t>Week 11</t>
  </si>
  <si>
    <t>Week 12</t>
  </si>
  <si>
    <t>Week 13</t>
  </si>
  <si>
    <t>Week 14</t>
  </si>
  <si>
    <t>Week 15</t>
  </si>
  <si>
    <t>Week 16</t>
  </si>
  <si>
    <t>Week 17</t>
  </si>
  <si>
    <t>Week 18</t>
  </si>
  <si>
    <t>Week 19</t>
  </si>
  <si>
    <t>Week 20</t>
  </si>
  <si>
    <t>Week 21</t>
  </si>
  <si>
    <t>Week 22</t>
  </si>
  <si>
    <t>Week 23</t>
  </si>
  <si>
    <t>Week 24</t>
  </si>
  <si>
    <t>Week 25</t>
  </si>
  <si>
    <t>Week 26</t>
  </si>
  <si>
    <t>Week 27</t>
  </si>
  <si>
    <t>Week 28</t>
  </si>
  <si>
    <t>Week 29</t>
  </si>
  <si>
    <t>Week 30</t>
  </si>
  <si>
    <t>July</t>
  </si>
  <si>
    <t>Week 31</t>
  </si>
  <si>
    <t>Week 32</t>
  </si>
  <si>
    <t>Week 33</t>
  </si>
  <si>
    <t>Week 34</t>
  </si>
  <si>
    <t>Week 35</t>
  </si>
  <si>
    <t>Week 36</t>
  </si>
  <si>
    <t>Week 37</t>
  </si>
  <si>
    <t>Week 38</t>
  </si>
  <si>
    <t>Week 39</t>
  </si>
  <si>
    <t>Week 40</t>
  </si>
  <si>
    <t>Planning &amp; Preparation</t>
  </si>
  <si>
    <t>Development &amp; Implementation</t>
  </si>
  <si>
    <t>Documentation</t>
  </si>
  <si>
    <t>Evaluation &amp; Visual Interface</t>
  </si>
  <si>
    <t>Progress Monitoring &amp; Mentorship</t>
  </si>
  <si>
    <t>Bureaucracy &amp; Procurement</t>
  </si>
  <si>
    <t>Lior</t>
  </si>
  <si>
    <t>Specification document</t>
  </si>
  <si>
    <t>Connecting Gemini API Infrastructure</t>
  </si>
  <si>
    <t>Connecting Vertex AI GCP Infrastructure</t>
  </si>
  <si>
    <t>Q&amp;A session with Dr. Mor</t>
  </si>
  <si>
    <t>Literature review on similar products</t>
  </si>
  <si>
    <t>Developing the first 6 agents</t>
  </si>
  <si>
    <t>Liniv</t>
  </si>
  <si>
    <t>Agents' run on a single case</t>
  </si>
  <si>
    <t>Signing an NDA</t>
  </si>
  <si>
    <t>Receiving a data file</t>
  </si>
  <si>
    <t>Obtaining a license for OpenAI</t>
  </si>
  <si>
    <t>Development of two additional agents</t>
  </si>
  <si>
    <t>Creating agents using the Open AI API</t>
  </si>
  <si>
    <t>Comparing Open AI and Gemini</t>
  </si>
  <si>
    <t>Building a visual interface</t>
  </si>
  <si>
    <t>Writing the methods chapter</t>
  </si>
  <si>
    <t>Gantt Presentation</t>
  </si>
  <si>
    <t>Lecture 2</t>
  </si>
  <si>
    <t>First Report</t>
  </si>
  <si>
    <t>Lectrure 3</t>
  </si>
  <si>
    <t>Lecture 1</t>
  </si>
  <si>
    <t>Preparing a presentation</t>
  </si>
  <si>
    <t>First Presntation</t>
  </si>
  <si>
    <t>Abstract Submission</t>
  </si>
  <si>
    <t>Preparing a poster</t>
  </si>
  <si>
    <t>Poster Submission</t>
  </si>
  <si>
    <t>Preparing a abstract</t>
  </si>
  <si>
    <t>Final Report</t>
  </si>
  <si>
    <t xml:space="preserve">Final Presentation &amp; Poster Presentaion </t>
  </si>
  <si>
    <t xml:space="preserve"> Preparing a Gantt</t>
  </si>
  <si>
    <t>Writing first Report</t>
  </si>
  <si>
    <t>Writing  Presentation for Dr.Mor</t>
  </si>
  <si>
    <t>Presentation for Dr.Mor Submission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</si>
</sst>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_(* \(#,##0.00\);_(* &quot;-&quot;??_);_(@_)"/>
    <numFmt numFmtId="164" formatCode="d"/>
  </numFmts>
  <fonts count="24" x14ac:knownFonts="1">
    <font>
      <sz val="11"/>
      <color theme="1"/>
      <name val="Calibri"/>
      <family val="2"/>
      <scheme val="minor"/>
    </font>
    <font>
      <u/>
      <sz val="11"/>
      <color indexed="12"/>
      <name val="Arial"/>
      <family val="2"/>
    </font>
    <font>
      <sz val="11"/>
      <color theme="1"/>
      <name val="Calibri"/>
      <family val="2"/>
      <scheme val="minor"/>
    </font>
    <font>
      <sz val="14"/>
      <color theme="1"/>
      <name val="Calibri"/>
      <family val="2"/>
      <scheme val="minor"/>
    </font>
    <font>
      <b/>
      <sz val="22"/>
      <color theme="1" tint="0.34998626667073579"/>
      <name val="Calibri"/>
      <family val="2"/>
      <scheme val="major"/>
    </font>
    <font>
      <sz val="11"/>
      <color theme="0"/>
      <name val="Calibri"/>
      <family val="2"/>
      <scheme val="minor"/>
    </font>
    <font>
      <b/>
      <sz val="20"/>
      <name val="Calibri"/>
      <family val="2"/>
      <scheme val="major"/>
    </font>
    <font>
      <b/>
      <sz val="22"/>
      <name val="Calibri"/>
      <family val="2"/>
      <scheme val="major"/>
    </font>
    <font>
      <b/>
      <sz val="26"/>
      <name val="Calibri"/>
      <family val="2"/>
      <scheme val="major"/>
    </font>
    <font>
      <b/>
      <sz val="16"/>
      <name val="Calibri"/>
      <family val="2"/>
      <scheme val="major"/>
    </font>
    <font>
      <sz val="11"/>
      <color theme="0"/>
      <name val="Calibri"/>
      <family val="2"/>
      <scheme val="major"/>
    </font>
    <font>
      <sz val="11"/>
      <color theme="1"/>
      <name val="Calibri"/>
      <family val="2"/>
      <scheme val="major"/>
    </font>
    <font>
      <sz val="14"/>
      <name val="Calibri"/>
      <family val="2"/>
      <scheme val="major"/>
    </font>
    <font>
      <sz val="11"/>
      <name val="Calibri"/>
      <family val="2"/>
      <scheme val="major"/>
    </font>
    <font>
      <sz val="12"/>
      <name val="Calibri"/>
      <family val="2"/>
      <scheme val="major"/>
    </font>
    <font>
      <b/>
      <sz val="14"/>
      <color theme="0"/>
      <name val="Calibri"/>
      <family val="2"/>
      <scheme val="major"/>
    </font>
    <font>
      <sz val="10"/>
      <name val="Calibri"/>
      <family val="2"/>
      <scheme val="major"/>
    </font>
    <font>
      <b/>
      <sz val="11"/>
      <color theme="0"/>
      <name val="Calibri"/>
      <family val="2"/>
      <scheme val="major"/>
    </font>
    <font>
      <b/>
      <sz val="10"/>
      <color theme="0"/>
      <name val="Calibri"/>
      <family val="2"/>
      <scheme val="major"/>
    </font>
    <font>
      <b/>
      <sz val="11"/>
      <name val="Calibri"/>
      <family val="2"/>
      <scheme val="major"/>
    </font>
    <font>
      <b/>
      <sz val="11"/>
      <color theme="1" tint="0.499984740745262"/>
      <name val="Calibri"/>
      <family val="2"/>
      <scheme val="major"/>
    </font>
    <font>
      <sz val="10"/>
      <color theme="1" tint="0.499984740745262"/>
      <name val="Calibri"/>
      <family val="2"/>
      <scheme val="major"/>
    </font>
    <font>
      <b/>
      <sz val="10"/>
      <name val="Calibri"/>
      <family val="2"/>
      <scheme val="major"/>
    </font>
    <font>
      <sz val="8"/>
      <name val="Calibri"/>
      <family val="2"/>
      <scheme val="minor"/>
    </font>
  </fonts>
  <fills count="12">
    <fill>
      <patternFill patternType="none"/>
    </fill>
    <fill>
      <patternFill patternType="gray125"/>
    </fill>
    <fill>
      <patternFill patternType="solid">
        <fgColor theme="0" tint="-4.9989318521683403E-2"/>
        <bgColor indexed="64"/>
      </patternFill>
    </fill>
    <fill>
      <patternFill patternType="solid">
        <fgColor theme="6"/>
      </patternFill>
    </fill>
    <fill>
      <patternFill patternType="solid">
        <fgColor theme="6"/>
        <bgColor indexed="64"/>
      </patternFill>
    </fill>
    <fill>
      <patternFill patternType="solid">
        <fgColor theme="5"/>
        <bgColor indexed="64"/>
      </patternFill>
    </fill>
    <fill>
      <patternFill patternType="solid">
        <fgColor theme="1" tint="0.249977111117893"/>
        <bgColor indexed="64"/>
      </patternFill>
    </fill>
    <fill>
      <patternFill patternType="solid">
        <fgColor theme="0" tint="-0.249977111117893"/>
        <bgColor indexed="64"/>
      </patternFill>
    </fill>
    <fill>
      <patternFill patternType="solid">
        <fgColor rgb="FFC00000"/>
        <bgColor indexed="64"/>
      </patternFill>
    </fill>
    <fill>
      <patternFill patternType="solid">
        <fgColor rgb="FFFFC000"/>
        <bgColor indexed="64"/>
      </patternFill>
    </fill>
    <fill>
      <patternFill patternType="solid">
        <fgColor rgb="FF00B0F0"/>
        <bgColor indexed="64"/>
      </patternFill>
    </fill>
    <fill>
      <patternFill patternType="solid">
        <fgColor rgb="FF92D050"/>
        <bgColor indexed="64"/>
      </patternFill>
    </fill>
  </fills>
  <borders count="19">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bottom/>
      <diagonal/>
    </border>
    <border>
      <left/>
      <right style="thin">
        <color theme="0" tint="-0.34998626667073579"/>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14993743705557422"/>
      </left>
      <right style="thin">
        <color theme="0" tint="-0.14993743705557422"/>
      </right>
      <top/>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right/>
      <top/>
      <bottom style="thin">
        <color theme="0" tint="-0.34998626667073579"/>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theme="0" tint="-0.34998626667073579"/>
      </right>
      <top style="thin">
        <color theme="0" tint="-0.34998626667073579"/>
      </top>
      <bottom style="thin">
        <color theme="0" tint="-0.34998626667073579"/>
      </bottom>
      <diagonal/>
    </border>
    <border>
      <left style="thin">
        <color theme="0"/>
      </left>
      <right/>
      <top/>
      <bottom/>
      <diagonal/>
    </border>
    <border>
      <left style="medium">
        <color theme="1"/>
      </left>
      <right/>
      <top style="medium">
        <color theme="1"/>
      </top>
      <bottom style="medium">
        <color theme="1"/>
      </bottom>
      <diagonal/>
    </border>
    <border>
      <left/>
      <right/>
      <top style="medium">
        <color theme="1"/>
      </top>
      <bottom style="medium">
        <color theme="1"/>
      </bottom>
      <diagonal/>
    </border>
    <border>
      <left/>
      <right style="medium">
        <color theme="1"/>
      </right>
      <top style="medium">
        <color theme="1"/>
      </top>
      <bottom style="medium">
        <color theme="1"/>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s>
  <cellStyleXfs count="12">
    <xf numFmtId="0" fontId="0" fillId="0" borderId="0"/>
    <xf numFmtId="0" fontId="1" fillId="0" borderId="0" applyNumberFormat="0" applyFill="0" applyBorder="0" applyAlignment="0" applyProtection="0">
      <alignment vertical="top"/>
      <protection locked="0"/>
    </xf>
    <xf numFmtId="9" fontId="2" fillId="0" borderId="0" applyFont="0" applyFill="0" applyBorder="0" applyProtection="0">
      <alignment horizontal="center" vertical="center"/>
    </xf>
    <xf numFmtId="0" fontId="5" fillId="0" borderId="0"/>
    <xf numFmtId="43" fontId="2" fillId="0" borderId="1" applyFont="0" applyFill="0" applyAlignment="0" applyProtection="0"/>
    <xf numFmtId="0" fontId="4" fillId="0" borderId="0" applyNumberFormat="0" applyFill="0" applyBorder="0" applyAlignment="0" applyProtection="0"/>
    <xf numFmtId="0" fontId="3" fillId="0" borderId="0" applyNumberFormat="0" applyFill="0" applyAlignment="0" applyProtection="0"/>
    <xf numFmtId="0" fontId="3" fillId="0" borderId="0" applyNumberFormat="0" applyFill="0" applyProtection="0">
      <alignment vertical="top"/>
    </xf>
    <xf numFmtId="0" fontId="2" fillId="0" borderId="0" applyNumberFormat="0" applyFill="0" applyProtection="0">
      <alignment horizontal="right" vertical="center" indent="1"/>
    </xf>
    <xf numFmtId="14" fontId="2" fillId="0" borderId="0" applyFont="0" applyFill="0" applyBorder="0">
      <alignment horizontal="center" vertical="center"/>
    </xf>
    <xf numFmtId="37" fontId="2" fillId="0" borderId="0" applyFont="0" applyFill="0" applyBorder="0" applyProtection="0">
      <alignment horizontal="center" vertical="center"/>
    </xf>
    <xf numFmtId="0" fontId="5" fillId="3" borderId="0" applyNumberFormat="0" applyBorder="0" applyAlignment="0" applyProtection="0"/>
  </cellStyleXfs>
  <cellXfs count="69">
    <xf numFmtId="0" fontId="0" fillId="0" borderId="0" xfId="0"/>
    <xf numFmtId="0" fontId="7" fillId="0" borderId="0" xfId="5" applyFont="1" applyFill="1" applyBorder="1" applyAlignment="1">
      <alignment horizontal="left" vertical="center"/>
    </xf>
    <xf numFmtId="0" fontId="6" fillId="0" borderId="0" xfId="0" applyFont="1" applyAlignment="1">
      <alignment horizontal="left" vertical="center"/>
    </xf>
    <xf numFmtId="0" fontId="10" fillId="0" borderId="0" xfId="3" applyFont="1"/>
    <xf numFmtId="0" fontId="11" fillId="0" borderId="0" xfId="0" applyFont="1"/>
    <xf numFmtId="0" fontId="11" fillId="0" borderId="0" xfId="0" applyFont="1" applyAlignment="1">
      <alignment horizontal="center"/>
    </xf>
    <xf numFmtId="0" fontId="10" fillId="0" borderId="0" xfId="3" applyFont="1" applyAlignment="1">
      <alignment wrapText="1"/>
    </xf>
    <xf numFmtId="0" fontId="13" fillId="0" borderId="0" xfId="0" applyFont="1" applyAlignment="1">
      <alignment vertical="center"/>
    </xf>
    <xf numFmtId="0" fontId="12" fillId="0" borderId="0" xfId="0" applyFont="1" applyAlignment="1">
      <alignment horizontal="center" vertical="center"/>
    </xf>
    <xf numFmtId="0" fontId="12" fillId="0" borderId="0" xfId="0" applyFont="1" applyAlignment="1">
      <alignment vertical="center"/>
    </xf>
    <xf numFmtId="0" fontId="11" fillId="0" borderId="0" xfId="0" applyFont="1" applyAlignment="1">
      <alignment vertical="center"/>
    </xf>
    <xf numFmtId="0" fontId="12" fillId="0" borderId="0" xfId="6" applyFont="1" applyFill="1" applyAlignment="1">
      <alignment horizontal="left" vertical="center" indent="2"/>
    </xf>
    <xf numFmtId="0" fontId="13" fillId="0" borderId="0" xfId="0" applyFont="1" applyAlignment="1">
      <alignment horizontal="left" vertical="center" indent="2"/>
    </xf>
    <xf numFmtId="0" fontId="13" fillId="0" borderId="0" xfId="0" applyFont="1"/>
    <xf numFmtId="0" fontId="13" fillId="0" borderId="0" xfId="0" applyFont="1" applyAlignment="1">
      <alignment horizontal="center"/>
    </xf>
    <xf numFmtId="0" fontId="14" fillId="0" borderId="0" xfId="0" applyFont="1" applyAlignment="1">
      <alignment horizontal="right" vertical="center"/>
    </xf>
    <xf numFmtId="0" fontId="11" fillId="0" borderId="13" xfId="0" applyFont="1" applyBorder="1"/>
    <xf numFmtId="14" fontId="12" fillId="0" borderId="0" xfId="9" applyFont="1" applyFill="1" applyBorder="1" applyAlignment="1">
      <alignment horizontal="left" vertical="center"/>
    </xf>
    <xf numFmtId="14" fontId="13" fillId="0" borderId="0" xfId="9" applyFont="1" applyFill="1" applyBorder="1" applyAlignment="1">
      <alignment horizontal="left" vertical="center" indent="2"/>
    </xf>
    <xf numFmtId="0" fontId="13" fillId="0" borderId="0" xfId="0" applyFont="1" applyAlignment="1">
      <alignment horizontal="left" vertical="center"/>
    </xf>
    <xf numFmtId="0" fontId="17" fillId="6" borderId="0" xfId="0" applyFont="1" applyFill="1" applyAlignment="1">
      <alignment horizontal="center" vertical="center" wrapText="1"/>
    </xf>
    <xf numFmtId="0" fontId="18" fillId="0" borderId="0" xfId="0" applyFont="1" applyAlignment="1">
      <alignment horizontal="center" vertical="center" wrapText="1"/>
    </xf>
    <xf numFmtId="9" fontId="11" fillId="0" borderId="0" xfId="2" applyFont="1" applyFill="1" applyBorder="1">
      <alignment horizontal="center" vertical="center"/>
    </xf>
    <xf numFmtId="0" fontId="11" fillId="0" borderId="0" xfId="0" applyFont="1" applyAlignment="1">
      <alignment horizontal="center" vertical="center" wrapText="1"/>
    </xf>
    <xf numFmtId="14" fontId="11" fillId="0" borderId="0" xfId="9" applyFont="1" applyFill="1" applyBorder="1">
      <alignment horizontal="center" vertical="center"/>
    </xf>
    <xf numFmtId="37" fontId="11" fillId="0" borderId="0" xfId="10" applyFont="1" applyFill="1" applyBorder="1">
      <alignment horizontal="center" vertical="center"/>
    </xf>
    <xf numFmtId="0" fontId="13" fillId="0" borderId="0" xfId="0" applyFont="1" applyAlignment="1">
      <alignment horizontal="center" vertical="center"/>
    </xf>
    <xf numFmtId="9" fontId="19" fillId="0" borderId="0" xfId="2" applyFont="1" applyFill="1" applyBorder="1">
      <alignment horizontal="center" vertical="center"/>
    </xf>
    <xf numFmtId="14" fontId="13" fillId="0" borderId="0" xfId="9" applyFont="1" applyFill="1" applyBorder="1">
      <alignment horizontal="center" vertical="center"/>
    </xf>
    <xf numFmtId="37" fontId="13" fillId="0" borderId="0" xfId="10" applyFont="1" applyFill="1" applyBorder="1">
      <alignment horizontal="center" vertical="center"/>
    </xf>
    <xf numFmtId="0" fontId="11" fillId="0" borderId="0" xfId="0" applyFont="1" applyAlignment="1">
      <alignment horizontal="center" vertical="center"/>
    </xf>
    <xf numFmtId="0" fontId="20" fillId="0" borderId="0" xfId="0" applyFont="1"/>
    <xf numFmtId="0" fontId="10" fillId="0" borderId="0" xfId="0" applyFont="1" applyAlignment="1">
      <alignment horizontal="center"/>
    </xf>
    <xf numFmtId="0" fontId="11" fillId="0" borderId="0" xfId="0" applyFont="1" applyAlignment="1">
      <alignment horizontal="right" vertical="center"/>
    </xf>
    <xf numFmtId="0" fontId="21" fillId="0" borderId="0" xfId="1" applyFont="1" applyAlignment="1" applyProtection="1"/>
    <xf numFmtId="164" fontId="11" fillId="0" borderId="5" xfId="0" applyNumberFormat="1" applyFont="1" applyBorder="1" applyAlignment="1">
      <alignment vertical="center"/>
    </xf>
    <xf numFmtId="164" fontId="11" fillId="0" borderId="0" xfId="0" applyNumberFormat="1" applyFont="1"/>
    <xf numFmtId="164" fontId="11" fillId="0" borderId="4" xfId="0" applyNumberFormat="1" applyFont="1" applyBorder="1" applyAlignment="1">
      <alignment horizontal="center" vertical="center"/>
    </xf>
    <xf numFmtId="164" fontId="16" fillId="7" borderId="17" xfId="0" applyNumberFormat="1" applyFont="1" applyFill="1" applyBorder="1" applyAlignment="1">
      <alignment horizontal="center" vertical="center"/>
    </xf>
    <xf numFmtId="164" fontId="16" fillId="7" borderId="18" xfId="0" applyNumberFormat="1" applyFont="1" applyFill="1" applyBorder="1" applyAlignment="1">
      <alignment horizontal="center" vertical="center"/>
    </xf>
    <xf numFmtId="164" fontId="16" fillId="7" borderId="12" xfId="0" applyNumberFormat="1" applyFont="1" applyFill="1" applyBorder="1" applyAlignment="1">
      <alignment horizontal="center" vertical="center"/>
    </xf>
    <xf numFmtId="0" fontId="9" fillId="0" borderId="0" xfId="6" applyFont="1" applyFill="1" applyAlignment="1">
      <alignment horizontal="left" vertical="center"/>
    </xf>
    <xf numFmtId="0" fontId="9" fillId="0" borderId="0" xfId="5" applyFont="1" applyFill="1" applyAlignment="1">
      <alignment horizontal="left" vertical="center"/>
    </xf>
    <xf numFmtId="0" fontId="12" fillId="0" borderId="0" xfId="8" applyFont="1" applyFill="1" applyAlignment="1">
      <alignment horizontal="left" vertical="center"/>
    </xf>
    <xf numFmtId="0" fontId="13" fillId="0" borderId="0" xfId="8" applyFont="1" applyFill="1" applyAlignment="1">
      <alignment horizontal="left" vertical="center"/>
    </xf>
    <xf numFmtId="0" fontId="17" fillId="6" borderId="0" xfId="0" applyFont="1" applyFill="1" applyAlignment="1">
      <alignment horizontal="left" vertical="center"/>
    </xf>
    <xf numFmtId="0" fontId="11" fillId="0" borderId="0" xfId="0" applyFont="1" applyAlignment="1">
      <alignment horizontal="left" vertical="center" wrapText="1"/>
    </xf>
    <xf numFmtId="0" fontId="13" fillId="0" borderId="0" xfId="0" applyFont="1" applyAlignment="1">
      <alignment horizontal="left" vertical="center" wrapText="1"/>
    </xf>
    <xf numFmtId="0" fontId="11" fillId="0" borderId="0" xfId="0" applyFont="1" applyAlignment="1">
      <alignment horizontal="left" vertical="center"/>
    </xf>
    <xf numFmtId="0" fontId="8" fillId="2" borderId="0" xfId="5" applyFont="1" applyFill="1" applyAlignment="1">
      <alignment horizontal="left" vertical="center" indent="1"/>
    </xf>
    <xf numFmtId="0" fontId="15" fillId="5" borderId="0" xfId="0" applyFont="1" applyFill="1" applyAlignment="1">
      <alignment horizontal="center" vertical="center"/>
    </xf>
    <xf numFmtId="0" fontId="15" fillId="8" borderId="0" xfId="0" applyFont="1" applyFill="1" applyAlignment="1">
      <alignment horizontal="center" vertical="center"/>
    </xf>
    <xf numFmtId="0" fontId="9" fillId="0" borderId="9" xfId="0" applyFont="1" applyBorder="1" applyAlignment="1">
      <alignment horizontal="center" vertical="center"/>
    </xf>
    <xf numFmtId="0" fontId="9" fillId="0" borderId="10" xfId="0" applyFont="1" applyBorder="1" applyAlignment="1">
      <alignment horizontal="center" vertical="center"/>
    </xf>
    <xf numFmtId="0" fontId="9" fillId="0" borderId="11" xfId="0" applyFont="1" applyBorder="1" applyAlignment="1">
      <alignment horizontal="center" vertical="center"/>
    </xf>
    <xf numFmtId="164" fontId="22" fillId="7" borderId="6" xfId="0" applyNumberFormat="1" applyFont="1" applyFill="1" applyBorder="1" applyAlignment="1">
      <alignment horizontal="center" vertical="center"/>
    </xf>
    <xf numFmtId="164" fontId="22" fillId="7" borderId="8" xfId="0" applyNumberFormat="1" applyFont="1" applyFill="1" applyBorder="1" applyAlignment="1">
      <alignment horizontal="center" vertical="center"/>
    </xf>
    <xf numFmtId="164" fontId="22" fillId="7" borderId="7" xfId="0" applyNumberFormat="1" applyFont="1" applyFill="1" applyBorder="1" applyAlignment="1">
      <alignment horizontal="center" vertical="center"/>
    </xf>
    <xf numFmtId="164" fontId="22" fillId="7" borderId="0" xfId="0" applyNumberFormat="1" applyFont="1" applyFill="1" applyAlignment="1">
      <alignment horizontal="center" vertical="center"/>
    </xf>
    <xf numFmtId="164" fontId="22" fillId="7" borderId="3" xfId="0" applyNumberFormat="1" applyFont="1" applyFill="1" applyBorder="1" applyAlignment="1">
      <alignment horizontal="center" vertical="center"/>
    </xf>
    <xf numFmtId="164" fontId="22" fillId="7" borderId="2" xfId="0" applyNumberFormat="1" applyFont="1" applyFill="1" applyBorder="1" applyAlignment="1">
      <alignment horizontal="center" vertical="center"/>
    </xf>
    <xf numFmtId="0" fontId="9" fillId="0" borderId="15" xfId="0" applyFont="1" applyBorder="1" applyAlignment="1">
      <alignment horizontal="center" vertical="center"/>
    </xf>
    <xf numFmtId="0" fontId="9" fillId="0" borderId="16" xfId="0" applyFont="1" applyBorder="1" applyAlignment="1">
      <alignment horizontal="center" vertical="center"/>
    </xf>
    <xf numFmtId="0" fontId="9" fillId="0" borderId="14" xfId="0" applyFont="1" applyBorder="1" applyAlignment="1">
      <alignment horizontal="center" vertical="center"/>
    </xf>
    <xf numFmtId="0" fontId="12" fillId="2" borderId="0" xfId="0" applyFont="1" applyFill="1" applyAlignment="1">
      <alignment horizontal="center" vertical="center"/>
    </xf>
    <xf numFmtId="0" fontId="15" fillId="9" borderId="0" xfId="0" applyFont="1" applyFill="1" applyAlignment="1">
      <alignment horizontal="center" vertical="center"/>
    </xf>
    <xf numFmtId="0" fontId="15" fillId="10" borderId="0" xfId="0" applyFont="1" applyFill="1" applyAlignment="1">
      <alignment horizontal="center" vertical="center"/>
    </xf>
    <xf numFmtId="0" fontId="15" fillId="4" borderId="0" xfId="11" applyFont="1" applyFill="1" applyAlignment="1">
      <alignment horizontal="center" vertical="center"/>
    </xf>
    <xf numFmtId="0" fontId="15" fillId="11" borderId="0" xfId="0" applyFont="1" applyFill="1" applyAlignment="1">
      <alignment horizontal="center" vertical="center"/>
    </xf>
  </cellXfs>
  <cellStyles count="12">
    <cellStyle name="Comma" xfId="4" builtinId="3" customBuiltin="1"/>
    <cellStyle name="Date" xfId="9" xr:uid="{229918B6-DD13-4F5A-97B9-305F7E002AA3}"/>
    <cellStyle name="Normal" xfId="0" builtinId="0"/>
    <cellStyle name="Percent" xfId="2" builtinId="5" customBuiltin="1"/>
    <cellStyle name="zHiddenText" xfId="3" xr:uid="{26E66EE6-E33F-4D77-BAE4-0FB4F5BBF673}"/>
    <cellStyle name="הדגשה3" xfId="11" builtinId="37"/>
    <cellStyle name="היפר-קישור" xfId="1" builtinId="8" customBuiltin="1"/>
    <cellStyle name="כותרת" xfId="5" builtinId="15" customBuiltin="1"/>
    <cellStyle name="כותרת 1" xfId="6" builtinId="16" customBuiltin="1"/>
    <cellStyle name="כותרת 2" xfId="7" builtinId="17" customBuiltin="1"/>
    <cellStyle name="כותרת 3" xfId="8" builtinId="18" customBuiltin="1"/>
    <cellStyle name="פסיק [0]" xfId="10" builtinId="6" customBuiltin="1"/>
  </cellStyles>
  <dxfs count="29">
    <dxf>
      <fill>
        <patternFill>
          <bgColor rgb="FF00B050"/>
        </patternFill>
      </fill>
    </dxf>
    <dxf>
      <fill>
        <patternFill>
          <bgColor rgb="FF92D050"/>
        </patternFill>
      </fill>
    </dxf>
    <dxf>
      <fill>
        <patternFill>
          <bgColor rgb="FF0070C0"/>
        </patternFill>
      </fill>
    </dxf>
    <dxf>
      <fill>
        <patternFill>
          <bgColor rgb="FFC00000"/>
        </patternFill>
      </fill>
    </dxf>
    <dxf>
      <fill>
        <patternFill>
          <bgColor rgb="FFFFC000"/>
        </patternFill>
      </fill>
    </dxf>
    <dxf>
      <fill>
        <patternFill>
          <bgColor rgb="FF00B0F0"/>
        </patternFill>
      </fill>
    </dxf>
    <dxf>
      <fill>
        <patternFill patternType="gray0625"/>
      </fill>
      <border>
        <left style="thin">
          <color auto="1"/>
        </left>
        <right style="thin">
          <color auto="1"/>
        </right>
        <top style="thin">
          <color auto="1"/>
        </top>
        <bottom style="thin">
          <color auto="1"/>
        </bottom>
        <vertical/>
        <horizontal/>
      </border>
    </dxf>
    <dxf>
      <fill>
        <patternFill>
          <bgColor rgb="FFFF0000"/>
        </patternFill>
      </fill>
      <border>
        <left style="thin">
          <color auto="1"/>
        </left>
        <right style="thin">
          <color auto="1"/>
        </right>
        <top style="thin">
          <color auto="1"/>
        </top>
        <bottom style="thin">
          <color auto="1"/>
        </bottom>
        <vertical/>
        <horizontal/>
      </border>
    </dxf>
    <dxf>
      <font>
        <strike val="0"/>
        <outline val="0"/>
        <shadow val="0"/>
        <u val="none"/>
        <vertAlign val="baseline"/>
        <sz val="11"/>
        <name val="Calibri"/>
        <family val="2"/>
        <scheme val="major"/>
      </font>
    </dxf>
    <dxf>
      <font>
        <strike val="0"/>
        <outline val="0"/>
        <shadow val="0"/>
        <u val="none"/>
        <vertAlign val="baseline"/>
        <sz val="11"/>
        <name val="Calibri"/>
        <family val="2"/>
        <scheme val="major"/>
      </font>
    </dxf>
    <dxf>
      <font>
        <strike val="0"/>
        <outline val="0"/>
        <shadow val="0"/>
        <u val="none"/>
        <vertAlign val="baseline"/>
        <sz val="11"/>
        <name val="Calibri"/>
        <family val="2"/>
        <scheme val="major"/>
      </font>
    </dxf>
    <dxf>
      <font>
        <strike val="0"/>
        <outline val="0"/>
        <shadow val="0"/>
        <u val="none"/>
        <vertAlign val="baseline"/>
        <sz val="11"/>
        <name val="Calibri"/>
        <family val="2"/>
        <scheme val="major"/>
      </font>
      <alignment horizontal="center" vertical="center" textRotation="0" indent="0" justifyLastLine="0" shrinkToFit="0" readingOrder="0"/>
    </dxf>
    <dxf>
      <font>
        <strike val="0"/>
        <outline val="0"/>
        <shadow val="0"/>
        <u val="none"/>
        <vertAlign val="baseline"/>
        <sz val="11"/>
        <name val="Calibri"/>
        <family val="2"/>
        <scheme val="major"/>
      </font>
      <alignment horizontal="center" vertical="center" textRotation="0" wrapText="0" indent="0" justifyLastLine="0" shrinkToFit="0" readingOrder="0"/>
    </dxf>
    <dxf>
      <font>
        <strike val="0"/>
        <outline val="0"/>
        <shadow val="0"/>
        <u val="none"/>
        <vertAlign val="baseline"/>
        <sz val="11"/>
        <name val="Calibri"/>
        <family val="2"/>
        <scheme val="major"/>
      </font>
      <alignment horizontal="left" vertical="center" textRotation="0" wrapText="1" indent="0" justifyLastLine="0" shrinkToFit="0" readingOrder="0"/>
    </dxf>
    <dxf>
      <font>
        <strike val="0"/>
        <outline val="0"/>
        <shadow val="0"/>
        <u val="none"/>
        <vertAlign val="baseline"/>
        <sz val="11"/>
        <name val="Calibri"/>
        <family val="2"/>
        <scheme val="major"/>
      </font>
    </dxf>
    <dxf>
      <font>
        <b/>
        <strike val="0"/>
        <outline val="0"/>
        <shadow val="0"/>
        <u val="none"/>
        <vertAlign val="baseline"/>
        <sz val="11"/>
        <color theme="0"/>
        <name val="Calibri"/>
        <family val="2"/>
        <scheme val="major"/>
      </font>
      <fill>
        <patternFill patternType="solid">
          <fgColor indexed="64"/>
          <bgColor theme="1" tint="0.249977111117893"/>
        </patternFill>
      </fill>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1" tint="0.24994659260841701"/>
          <bgColor theme="1" tint="0.24994659260841701"/>
        </patternFill>
      </fill>
      <border diagonalUp="0" diagonalDown="0">
        <left/>
        <right/>
        <top/>
        <bottom/>
        <vertical/>
        <horizontal/>
      </border>
    </dxf>
    <dxf>
      <font>
        <color auto="1"/>
      </font>
      <border diagonalUp="0" diagonalDown="0">
        <left/>
        <right/>
        <top/>
        <bottom/>
        <vertical/>
        <horizontal/>
      </border>
    </dxf>
    <dxf>
      <font>
        <color theme="0"/>
      </font>
      <fill>
        <patternFill>
          <bgColor theme="1" tint="0.24994659260841701"/>
        </patternFill>
      </fill>
    </dxf>
    <dxf>
      <font>
        <color theme="0"/>
      </font>
      <fill>
        <patternFill patternType="solid">
          <fgColor indexed="64"/>
          <bgColor theme="1" tint="0.34998626667073579"/>
        </patternFill>
      </fill>
      <border diagonalUp="0" diagonalDown="0">
        <left/>
        <right/>
        <top/>
        <bottom/>
        <vertical/>
        <horizontal/>
      </border>
    </dxf>
    <dxf>
      <font>
        <color auto="1"/>
      </font>
      <fill>
        <patternFill>
          <fgColor theme="0" tint="-0.14996795556505021"/>
          <bgColor theme="0" tint="-0.14993743705557422"/>
        </patternFill>
      </fill>
      <border diagonalUp="0" diagonalDown="0">
        <left/>
        <right/>
        <top/>
        <bottom/>
        <vertical/>
        <horizontal/>
      </border>
    </dxf>
    <dxf>
      <font>
        <strike val="0"/>
        <color auto="1"/>
      </font>
      <border diagonalUp="0" diagonalDown="0">
        <left/>
        <right/>
        <top/>
        <bottom/>
        <vertical/>
        <horizontal/>
      </border>
    </dxf>
  </dxfs>
  <tableStyles count="2" defaultTableStyle="Gantt Table Style" defaultPivotStyle="PivotStyleLight16">
    <tableStyle name="Gantt Table Style" pivot="0" count="4" xr9:uid="{4904D139-63E4-4221-B7C9-C6C5B7A50FAF}">
      <tableStyleElement type="wholeTable" dxfId="28"/>
      <tableStyleElement type="headerRow" dxfId="27"/>
      <tableStyleElement type="firstRowStripe" dxfId="26"/>
      <tableStyleElement type="secondRowStripe" dxfId="25"/>
    </tableStyle>
    <tableStyle name="ToDoList" pivot="0" count="9" xr9:uid="{00000000-0011-0000-FFFF-FFFF00000000}">
      <tableStyleElement type="wholeTable" dxfId="24"/>
      <tableStyleElement type="headerRow" dxfId="23"/>
      <tableStyleElement type="totalRow" dxfId="22"/>
      <tableStyleElement type="firstColumn" dxfId="21"/>
      <tableStyleElement type="lastColumn" dxfId="20"/>
      <tableStyleElement type="firstRowStripe" dxfId="19"/>
      <tableStyleElement type="secondRowStripe" dxfId="18"/>
      <tableStyleElement type="firstColumnStripe" dxfId="17"/>
      <tableStyleElement type="secondColumnStripe" dxfId="16"/>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C0C0C0"/>
      <color rgb="FF000000"/>
      <color rgb="FF215881"/>
      <color rgb="FF42648A"/>
      <color rgb="FF969696"/>
      <color rgb="FF427FC2"/>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D82988E-1813-40AE-BDE7-9F0200A703CB}" name="Milestones4352" displayName="Milestones4352" ref="B9:G42" totalsRowShown="0" headerRowDxfId="15" dataDxfId="14">
  <tableColumns count="6">
    <tableColumn id="1" xr3:uid="{619BF8F6-D0F1-41AD-871D-FE0240C45A93}" name="Milestone description" dataDxfId="13"/>
    <tableColumn id="2" xr3:uid="{39BD914E-FB02-4352-846C-6D59624DC0B0}" name="Category" dataDxfId="12"/>
    <tableColumn id="3" xr3:uid="{D274194F-BCA0-44F3-84B2-217254EE241C}" name="Assigned to" dataDxfId="11"/>
    <tableColumn id="4" xr3:uid="{8385BC6F-56EE-4363-A106-8DB0A1E4EF5A}" name="Progress" dataDxfId="10"/>
    <tableColumn id="5" xr3:uid="{02926609-7B93-4B6F-BE96-92EC7A949E4B}" name="Start" dataDxfId="9" dataCellStyle="Date"/>
    <tableColumn id="6" xr3:uid="{8FF9BE8E-04B7-4B39-AC27-D2E534204BC3}" name="Days" dataDxfId="8"/>
  </tableColumns>
  <tableStyleInfo name="ToDoList"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heme/theme1.xml><?xml version="1.0" encoding="utf-8"?>
<a:theme xmlns:a="http://schemas.openxmlformats.org/drawingml/2006/main" name="Attitude">
  <a:themeElements>
    <a:clrScheme name="Custom 60">
      <a:dk1>
        <a:srgbClr val="000000"/>
      </a:dk1>
      <a:lt1>
        <a:sysClr val="window" lastClr="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9BEAD0-786A-4F3A-BCD3-DA7444CB9941}">
  <sheetPr>
    <pageSetUpPr fitToPage="1"/>
  </sheetPr>
  <dimension ref="A1:KB44"/>
  <sheetViews>
    <sheetView showGridLines="0" tabSelected="1" showRuler="0" topLeftCell="A17" zoomScale="70" zoomScaleNormal="70" zoomScalePageLayoutView="70" workbookViewId="0">
      <selection activeCell="E53" sqref="E53"/>
    </sheetView>
  </sheetViews>
  <sheetFormatPr defaultColWidth="8.88671875" defaultRowHeight="30" customHeight="1" x14ac:dyDescent="0.3"/>
  <cols>
    <col min="1" max="1" width="4.6640625" style="3" customWidth="1"/>
    <col min="2" max="2" width="29.109375" style="48" bestFit="1" customWidth="1"/>
    <col min="3" max="3" width="32.21875" style="4" bestFit="1" customWidth="1"/>
    <col min="4" max="4" width="20.5546875" style="4" customWidth="1"/>
    <col min="5" max="5" width="15.6640625" style="4" customWidth="1"/>
    <col min="6" max="6" width="11.5546875" style="5" bestFit="1" customWidth="1"/>
    <col min="7" max="7" width="10.44140625" style="4" customWidth="1"/>
    <col min="8" max="8" width="2.6640625" style="4" customWidth="1"/>
    <col min="9" max="13" width="3.5546875" style="4" customWidth="1"/>
    <col min="14" max="14" width="3" style="4" bestFit="1" customWidth="1"/>
    <col min="15" max="15" width="3.5546875" style="4" customWidth="1"/>
    <col min="16" max="16" width="2" style="4" bestFit="1" customWidth="1"/>
    <col min="17" max="65" width="3.5546875" style="4" customWidth="1"/>
    <col min="66" max="66" width="3.109375" style="4" bestFit="1" customWidth="1"/>
    <col min="67" max="68" width="3.5546875" style="4" bestFit="1" customWidth="1"/>
    <col min="69" max="69" width="3.109375" style="4" bestFit="1" customWidth="1"/>
    <col min="70" max="71" width="3.5546875" style="4" bestFit="1" customWidth="1"/>
    <col min="72" max="75" width="3.109375" style="4" bestFit="1" customWidth="1"/>
    <col min="76" max="82" width="2.109375" style="4" bestFit="1" customWidth="1"/>
    <col min="83" max="84" width="3" style="4" bestFit="1" customWidth="1"/>
    <col min="85" max="106" width="3.109375" style="4" bestFit="1" customWidth="1"/>
    <col min="107" max="112" width="2.109375" style="4" bestFit="1" customWidth="1"/>
    <col min="113" max="115" width="3" style="4" bestFit="1" customWidth="1"/>
    <col min="116" max="135" width="3.109375" style="4" bestFit="1" customWidth="1"/>
    <col min="136" max="143" width="2.109375" style="4" bestFit="1" customWidth="1"/>
    <col min="144" max="165" width="3.109375" style="4" bestFit="1" customWidth="1"/>
    <col min="166" max="173" width="2.109375" style="4" bestFit="1" customWidth="1"/>
    <col min="174" max="174" width="3" style="4" bestFit="1" customWidth="1"/>
    <col min="175" max="195" width="3.109375" style="4" bestFit="1" customWidth="1"/>
    <col min="196" max="203" width="2.109375" style="4" bestFit="1" customWidth="1"/>
    <col min="204" max="226" width="3.109375" style="4" bestFit="1" customWidth="1"/>
    <col min="227" max="234" width="2.109375" style="4" bestFit="1" customWidth="1"/>
    <col min="235" max="257" width="3.109375" style="4" bestFit="1" customWidth="1"/>
    <col min="258" max="265" width="2.109375" style="4" bestFit="1" customWidth="1"/>
    <col min="266" max="266" width="3" style="4" bestFit="1" customWidth="1"/>
    <col min="267" max="287" width="3.109375" style="4" bestFit="1" customWidth="1"/>
    <col min="288" max="288" width="2" style="4" bestFit="1" customWidth="1"/>
    <col min="289" max="16384" width="8.88671875" style="4"/>
  </cols>
  <sheetData>
    <row r="1" spans="1:288" ht="25.2" customHeight="1" x14ac:dyDescent="0.3"/>
    <row r="2" spans="1:288" ht="49.95" customHeight="1" x14ac:dyDescent="0.3">
      <c r="A2" s="6"/>
      <c r="B2" s="49" t="s">
        <v>8</v>
      </c>
      <c r="C2" s="49"/>
      <c r="D2" s="49"/>
      <c r="E2" s="49"/>
      <c r="F2" s="49"/>
      <c r="G2" s="49"/>
      <c r="H2" s="49"/>
      <c r="I2" s="64"/>
      <c r="J2" s="64"/>
      <c r="K2" s="64"/>
      <c r="L2" s="64"/>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c r="CK2" s="64"/>
      <c r="CL2" s="64"/>
      <c r="CM2" s="64"/>
      <c r="CN2" s="64"/>
      <c r="CO2" s="64"/>
      <c r="CP2" s="64"/>
      <c r="CQ2" s="64"/>
      <c r="CR2" s="64"/>
      <c r="CS2" s="64"/>
      <c r="CT2" s="64"/>
      <c r="CU2" s="64"/>
      <c r="CV2" s="64"/>
      <c r="CW2" s="64"/>
      <c r="CX2" s="64"/>
      <c r="CY2" s="64"/>
      <c r="CZ2" s="64"/>
      <c r="DA2" s="64"/>
      <c r="DB2" s="64"/>
      <c r="DC2" s="64"/>
      <c r="DD2" s="64"/>
      <c r="DE2" s="64"/>
      <c r="DF2" s="64"/>
      <c r="DG2" s="64"/>
      <c r="DH2" s="64"/>
      <c r="DI2" s="64"/>
      <c r="DJ2" s="64"/>
      <c r="DK2" s="64"/>
      <c r="DL2" s="64"/>
      <c r="DM2" s="64"/>
      <c r="DN2" s="64"/>
      <c r="DO2" s="64"/>
      <c r="DP2" s="64"/>
      <c r="DQ2" s="64"/>
      <c r="DR2" s="64"/>
      <c r="DS2" s="64"/>
      <c r="DT2" s="64"/>
      <c r="DU2" s="64"/>
      <c r="DV2" s="64"/>
      <c r="DW2" s="64"/>
      <c r="DX2" s="64"/>
      <c r="DY2" s="64"/>
      <c r="DZ2" s="64"/>
      <c r="EA2" s="64"/>
      <c r="EB2" s="64"/>
      <c r="EC2" s="64"/>
      <c r="ED2" s="64"/>
      <c r="EE2" s="64"/>
      <c r="EF2" s="64"/>
      <c r="EG2" s="64"/>
      <c r="EH2" s="64"/>
      <c r="EI2" s="64"/>
      <c r="EJ2" s="64"/>
      <c r="EK2" s="64"/>
      <c r="EL2" s="64"/>
      <c r="EM2" s="64"/>
      <c r="EN2" s="64"/>
      <c r="EO2" s="64"/>
      <c r="EP2" s="64"/>
      <c r="EQ2" s="64"/>
      <c r="ER2" s="64"/>
      <c r="ES2" s="64"/>
      <c r="ET2" s="64"/>
      <c r="EU2" s="64"/>
      <c r="EV2" s="64"/>
      <c r="EW2" s="64"/>
      <c r="EX2" s="64"/>
      <c r="EY2" s="64"/>
      <c r="EZ2" s="64"/>
      <c r="FA2" s="64"/>
      <c r="FB2" s="64"/>
      <c r="FC2" s="64"/>
      <c r="FD2" s="64"/>
      <c r="FE2" s="64"/>
      <c r="FF2" s="64"/>
      <c r="FG2" s="64"/>
      <c r="FH2" s="64"/>
      <c r="FI2" s="64"/>
      <c r="FJ2" s="64"/>
      <c r="FK2" s="64"/>
      <c r="FL2" s="64"/>
      <c r="FM2" s="64"/>
      <c r="FN2" s="64"/>
      <c r="FO2" s="64"/>
      <c r="FP2" s="64"/>
      <c r="FQ2" s="64"/>
      <c r="FR2" s="64"/>
      <c r="FS2" s="64"/>
      <c r="FT2" s="64"/>
      <c r="FU2" s="64"/>
      <c r="FV2" s="64"/>
      <c r="FW2" s="64"/>
      <c r="FX2" s="64"/>
      <c r="FY2" s="64"/>
      <c r="FZ2" s="64"/>
      <c r="GA2" s="64"/>
      <c r="GB2" s="64"/>
      <c r="GC2" s="64"/>
      <c r="GD2" s="64"/>
      <c r="GE2" s="64"/>
      <c r="GF2" s="64"/>
      <c r="GG2" s="64"/>
      <c r="GH2" s="64"/>
      <c r="GI2" s="64"/>
      <c r="GJ2" s="64"/>
      <c r="GK2" s="64"/>
      <c r="GL2" s="64"/>
      <c r="GM2" s="64"/>
      <c r="GN2" s="64"/>
      <c r="GO2" s="64"/>
      <c r="GP2" s="64"/>
      <c r="GQ2" s="64"/>
      <c r="GR2" s="64"/>
      <c r="GS2" s="64"/>
      <c r="GT2" s="64"/>
      <c r="GU2" s="64"/>
      <c r="GV2" s="64"/>
      <c r="GW2" s="64"/>
      <c r="GX2" s="64"/>
      <c r="GY2" s="64"/>
      <c r="GZ2" s="64"/>
      <c r="HA2" s="64"/>
      <c r="HB2" s="64"/>
      <c r="HC2" s="64"/>
      <c r="HD2" s="64"/>
      <c r="HE2" s="64"/>
      <c r="HF2" s="64"/>
      <c r="HG2" s="64"/>
      <c r="HH2" s="64"/>
      <c r="HI2" s="64"/>
      <c r="HJ2" s="64"/>
      <c r="HK2" s="64"/>
      <c r="HL2" s="64"/>
      <c r="HM2" s="64"/>
      <c r="HN2" s="64"/>
      <c r="HO2" s="64"/>
      <c r="HP2" s="64"/>
      <c r="HQ2" s="64"/>
      <c r="HR2" s="64"/>
      <c r="HS2" s="64"/>
      <c r="HT2" s="64"/>
      <c r="HU2" s="64"/>
      <c r="HV2" s="64"/>
      <c r="HW2" s="64"/>
      <c r="HX2" s="64"/>
      <c r="HY2" s="64"/>
      <c r="HZ2" s="64"/>
      <c r="IA2" s="64"/>
      <c r="IB2" s="64"/>
      <c r="IC2" s="64"/>
      <c r="ID2" s="64"/>
      <c r="IE2" s="64"/>
      <c r="IF2" s="64"/>
      <c r="IG2" s="64"/>
      <c r="IH2" s="64"/>
      <c r="II2" s="64"/>
      <c r="IJ2" s="64"/>
      <c r="IK2" s="64"/>
      <c r="IL2" s="64"/>
      <c r="IM2" s="64"/>
      <c r="IN2" s="64"/>
      <c r="IO2" s="64"/>
      <c r="IP2" s="64"/>
      <c r="IQ2" s="64"/>
      <c r="IR2" s="64"/>
      <c r="IS2" s="64"/>
      <c r="IT2" s="64"/>
      <c r="IU2" s="64"/>
      <c r="IV2" s="64"/>
      <c r="IW2" s="64"/>
      <c r="IX2" s="64"/>
      <c r="IY2" s="64"/>
      <c r="IZ2" s="64"/>
      <c r="JA2" s="64"/>
      <c r="JB2" s="64"/>
      <c r="JC2" s="64"/>
      <c r="JD2" s="64"/>
      <c r="JE2" s="64"/>
      <c r="JF2" s="64"/>
      <c r="JG2" s="64"/>
      <c r="JH2" s="64"/>
      <c r="JI2" s="64"/>
      <c r="JJ2" s="64"/>
      <c r="JK2" s="64"/>
      <c r="JL2" s="64"/>
      <c r="JM2" s="64"/>
      <c r="JN2" s="64"/>
      <c r="JO2" s="64"/>
      <c r="JP2" s="64"/>
      <c r="JQ2" s="64"/>
      <c r="JR2" s="64"/>
      <c r="JS2" s="64"/>
      <c r="JT2" s="64"/>
      <c r="JU2" s="64"/>
      <c r="JV2" s="64"/>
      <c r="JW2" s="64"/>
      <c r="JX2" s="64"/>
      <c r="JY2" s="64"/>
      <c r="JZ2" s="64"/>
      <c r="KA2" s="64"/>
      <c r="KB2" s="64"/>
    </row>
    <row r="3" spans="1:288" ht="19.95" customHeight="1" x14ac:dyDescent="0.3">
      <c r="A3" s="6"/>
      <c r="B3" s="1"/>
      <c r="C3" s="2"/>
      <c r="D3" s="7"/>
      <c r="E3" s="7"/>
      <c r="F3" s="8"/>
      <c r="G3" s="7"/>
      <c r="H3" s="7"/>
      <c r="I3" s="9"/>
      <c r="J3" s="10"/>
      <c r="K3" s="10"/>
      <c r="L3" s="10"/>
    </row>
    <row r="4" spans="1:288" ht="30" customHeight="1" x14ac:dyDescent="0.3">
      <c r="A4" s="6"/>
      <c r="B4" s="41" t="s">
        <v>23</v>
      </c>
      <c r="C4" s="11"/>
      <c r="D4" s="12"/>
      <c r="E4" s="13"/>
      <c r="F4" s="14"/>
      <c r="J4" s="15" t="s">
        <v>0</v>
      </c>
      <c r="K4" s="13"/>
      <c r="L4" s="67" t="s">
        <v>61</v>
      </c>
      <c r="M4" s="67"/>
      <c r="N4" s="67"/>
      <c r="O4" s="67"/>
      <c r="P4" s="67"/>
      <c r="Q4" s="67"/>
      <c r="R4" s="67"/>
      <c r="S4" s="67"/>
      <c r="T4" s="67"/>
      <c r="V4" s="68" t="s">
        <v>62</v>
      </c>
      <c r="W4" s="68"/>
      <c r="X4" s="68"/>
      <c r="Y4" s="68"/>
      <c r="Z4" s="68"/>
      <c r="AA4" s="68"/>
      <c r="AB4" s="68"/>
      <c r="AC4" s="68"/>
      <c r="AD4" s="68"/>
      <c r="AE4" s="68"/>
      <c r="AF4" s="68"/>
      <c r="AG4" s="68"/>
      <c r="AI4" s="50" t="s">
        <v>63</v>
      </c>
      <c r="AJ4" s="50"/>
      <c r="AK4" s="50"/>
      <c r="AL4" s="50"/>
      <c r="AM4" s="50"/>
      <c r="AN4" s="50"/>
      <c r="AP4" s="51" t="s">
        <v>64</v>
      </c>
      <c r="AQ4" s="51"/>
      <c r="AR4" s="51"/>
      <c r="AS4" s="51"/>
      <c r="AT4" s="51"/>
      <c r="AU4" s="51"/>
      <c r="AV4" s="51"/>
      <c r="AW4" s="51"/>
      <c r="AX4" s="51"/>
      <c r="AY4" s="51"/>
      <c r="AZ4" s="51"/>
      <c r="BB4" s="65" t="s">
        <v>65</v>
      </c>
      <c r="BC4" s="65"/>
      <c r="BD4" s="65"/>
      <c r="BE4" s="65"/>
      <c r="BF4" s="65"/>
      <c r="BG4" s="65"/>
      <c r="BH4" s="65"/>
      <c r="BI4" s="65"/>
      <c r="BJ4" s="65"/>
      <c r="BK4" s="65"/>
      <c r="BL4" s="65"/>
      <c r="BM4" s="65"/>
      <c r="BO4" s="66" t="s">
        <v>66</v>
      </c>
      <c r="BP4" s="66"/>
      <c r="BQ4" s="66"/>
      <c r="BR4" s="66"/>
      <c r="BS4" s="66"/>
      <c r="BT4" s="66"/>
      <c r="BU4" s="66"/>
      <c r="BV4" s="66"/>
      <c r="BW4" s="66"/>
      <c r="BX4" s="66"/>
      <c r="BY4" s="66"/>
      <c r="BZ4" s="66"/>
    </row>
    <row r="5" spans="1:288" ht="30" customHeight="1" x14ac:dyDescent="0.3">
      <c r="A5" s="6"/>
      <c r="B5" s="42" t="s">
        <v>24</v>
      </c>
      <c r="C5" s="12"/>
      <c r="D5" s="12"/>
      <c r="E5" s="13"/>
      <c r="F5" s="14"/>
      <c r="G5" s="13"/>
      <c r="H5" s="13"/>
      <c r="AL5" s="16"/>
    </row>
    <row r="6" spans="1:288" ht="30" customHeight="1" thickBot="1" x14ac:dyDescent="0.35">
      <c r="A6" s="6"/>
      <c r="B6" s="43" t="s">
        <v>1</v>
      </c>
      <c r="C6" s="17">
        <v>45956</v>
      </c>
      <c r="D6" s="18"/>
      <c r="E6" s="13"/>
      <c r="F6" s="14"/>
      <c r="G6" s="13"/>
      <c r="H6" s="13"/>
    </row>
    <row r="7" spans="1:288" ht="30" customHeight="1" thickBot="1" x14ac:dyDescent="0.35">
      <c r="A7" s="6"/>
      <c r="B7" s="44"/>
      <c r="C7" s="19"/>
      <c r="D7" s="12"/>
      <c r="E7" s="13"/>
      <c r="F7" s="13"/>
      <c r="G7" s="13"/>
      <c r="H7" s="13"/>
      <c r="I7" s="52" t="s">
        <v>9</v>
      </c>
      <c r="J7" s="53"/>
      <c r="K7" s="53"/>
      <c r="L7" s="53"/>
      <c r="M7" s="53"/>
      <c r="N7" s="54"/>
      <c r="O7" s="52" t="s">
        <v>17</v>
      </c>
      <c r="P7" s="53"/>
      <c r="Q7" s="53"/>
      <c r="R7" s="53"/>
      <c r="S7" s="53"/>
      <c r="T7" s="53"/>
      <c r="U7" s="53"/>
      <c r="V7" s="53"/>
      <c r="W7" s="53"/>
      <c r="X7" s="53"/>
      <c r="Y7" s="53"/>
      <c r="Z7" s="53"/>
      <c r="AA7" s="53"/>
      <c r="AB7" s="53"/>
      <c r="AC7" s="53"/>
      <c r="AD7" s="53"/>
      <c r="AE7" s="53"/>
      <c r="AF7" s="53"/>
      <c r="AG7" s="53"/>
      <c r="AH7" s="53"/>
      <c r="AI7" s="53"/>
      <c r="AJ7" s="53"/>
      <c r="AK7" s="53"/>
      <c r="AL7" s="53"/>
      <c r="AM7" s="53"/>
      <c r="AN7" s="53"/>
      <c r="AO7" s="53"/>
      <c r="AP7" s="53"/>
      <c r="AQ7" s="53"/>
      <c r="AR7" s="54"/>
      <c r="AS7" s="61" t="s">
        <v>10</v>
      </c>
      <c r="AT7" s="61"/>
      <c r="AU7" s="61"/>
      <c r="AV7" s="61"/>
      <c r="AW7" s="61"/>
      <c r="AX7" s="61"/>
      <c r="AY7" s="61"/>
      <c r="AZ7" s="61"/>
      <c r="BA7" s="61"/>
      <c r="BB7" s="61"/>
      <c r="BC7" s="61"/>
      <c r="BD7" s="61"/>
      <c r="BE7" s="61"/>
      <c r="BF7" s="61"/>
      <c r="BG7" s="61"/>
      <c r="BH7" s="61"/>
      <c r="BI7" s="61"/>
      <c r="BJ7" s="61"/>
      <c r="BK7" s="61"/>
      <c r="BL7" s="61"/>
      <c r="BM7" s="61"/>
      <c r="BN7" s="61"/>
      <c r="BO7" s="61"/>
      <c r="BP7" s="61"/>
      <c r="BQ7" s="61"/>
      <c r="BR7" s="61"/>
      <c r="BS7" s="61"/>
      <c r="BT7" s="61"/>
      <c r="BU7" s="61"/>
      <c r="BV7" s="61"/>
      <c r="BW7" s="62"/>
      <c r="BX7" s="63" t="s">
        <v>11</v>
      </c>
      <c r="BY7" s="61"/>
      <c r="BZ7" s="61"/>
      <c r="CA7" s="61"/>
      <c r="CB7" s="61"/>
      <c r="CC7" s="61"/>
      <c r="CD7" s="61"/>
      <c r="CE7" s="61"/>
      <c r="CF7" s="61"/>
      <c r="CG7" s="61"/>
      <c r="CH7" s="61"/>
      <c r="CI7" s="61"/>
      <c r="CJ7" s="61"/>
      <c r="CK7" s="61"/>
      <c r="CL7" s="61"/>
      <c r="CM7" s="61"/>
      <c r="CN7" s="61"/>
      <c r="CO7" s="61"/>
      <c r="CP7" s="61"/>
      <c r="CQ7" s="61"/>
      <c r="CR7" s="61"/>
      <c r="CS7" s="61"/>
      <c r="CT7" s="61"/>
      <c r="CU7" s="61"/>
      <c r="CV7" s="61"/>
      <c r="CW7" s="61"/>
      <c r="CX7" s="61"/>
      <c r="CY7" s="61"/>
      <c r="CZ7" s="61"/>
      <c r="DA7" s="61"/>
      <c r="DB7" s="62"/>
      <c r="DC7" s="63" t="s">
        <v>12</v>
      </c>
      <c r="DD7" s="61"/>
      <c r="DE7" s="61"/>
      <c r="DF7" s="61"/>
      <c r="DG7" s="61"/>
      <c r="DH7" s="61"/>
      <c r="DI7" s="61"/>
      <c r="DJ7" s="61"/>
      <c r="DK7" s="61"/>
      <c r="DL7" s="61"/>
      <c r="DM7" s="61"/>
      <c r="DN7" s="61"/>
      <c r="DO7" s="61"/>
      <c r="DP7" s="61"/>
      <c r="DQ7" s="61"/>
      <c r="DR7" s="61"/>
      <c r="DS7" s="61"/>
      <c r="DT7" s="61"/>
      <c r="DU7" s="61"/>
      <c r="DV7" s="61"/>
      <c r="DW7" s="61"/>
      <c r="DX7" s="61"/>
      <c r="DY7" s="61"/>
      <c r="DZ7" s="61"/>
      <c r="EA7" s="61"/>
      <c r="EB7" s="61"/>
      <c r="EC7" s="61"/>
      <c r="ED7" s="61"/>
      <c r="EE7" s="63" t="s">
        <v>13</v>
      </c>
      <c r="EF7" s="61"/>
      <c r="EG7" s="61"/>
      <c r="EH7" s="61"/>
      <c r="EI7" s="61"/>
      <c r="EJ7" s="61"/>
      <c r="EK7" s="61"/>
      <c r="EL7" s="61"/>
      <c r="EM7" s="61"/>
      <c r="EN7" s="61"/>
      <c r="EO7" s="61"/>
      <c r="EP7" s="61"/>
      <c r="EQ7" s="61"/>
      <c r="ER7" s="61"/>
      <c r="ES7" s="61"/>
      <c r="ET7" s="61"/>
      <c r="EU7" s="61"/>
      <c r="EV7" s="61"/>
      <c r="EW7" s="61"/>
      <c r="EX7" s="61"/>
      <c r="EY7" s="61"/>
      <c r="EZ7" s="61"/>
      <c r="FA7" s="61"/>
      <c r="FB7" s="61"/>
      <c r="FC7" s="61"/>
      <c r="FD7" s="61"/>
      <c r="FE7" s="61"/>
      <c r="FF7" s="61"/>
      <c r="FG7" s="61"/>
      <c r="FH7" s="61"/>
      <c r="FI7" s="62"/>
      <c r="FJ7" s="63" t="s">
        <v>14</v>
      </c>
      <c r="FK7" s="61"/>
      <c r="FL7" s="61"/>
      <c r="FM7" s="61"/>
      <c r="FN7" s="61"/>
      <c r="FO7" s="61"/>
      <c r="FP7" s="61"/>
      <c r="FQ7" s="61"/>
      <c r="FR7" s="61"/>
      <c r="FS7" s="61"/>
      <c r="FT7" s="61"/>
      <c r="FU7" s="61"/>
      <c r="FV7" s="61"/>
      <c r="FW7" s="61"/>
      <c r="FX7" s="61"/>
      <c r="FY7" s="61"/>
      <c r="FZ7" s="61"/>
      <c r="GA7" s="61"/>
      <c r="GB7" s="61"/>
      <c r="GC7" s="61"/>
      <c r="GD7" s="61"/>
      <c r="GE7" s="61"/>
      <c r="GF7" s="61"/>
      <c r="GG7" s="61"/>
      <c r="GH7" s="61"/>
      <c r="GI7" s="61"/>
      <c r="GJ7" s="61"/>
      <c r="GK7" s="61"/>
      <c r="GL7" s="61"/>
      <c r="GM7" s="62"/>
      <c r="GN7" s="63" t="s">
        <v>15</v>
      </c>
      <c r="GO7" s="61"/>
      <c r="GP7" s="61"/>
      <c r="GQ7" s="61"/>
      <c r="GR7" s="61"/>
      <c r="GS7" s="61"/>
      <c r="GT7" s="61"/>
      <c r="GU7" s="61"/>
      <c r="GV7" s="61"/>
      <c r="GW7" s="61"/>
      <c r="GX7" s="61"/>
      <c r="GY7" s="61"/>
      <c r="GZ7" s="61"/>
      <c r="HA7" s="61"/>
      <c r="HB7" s="61"/>
      <c r="HC7" s="61"/>
      <c r="HD7" s="61"/>
      <c r="HE7" s="61"/>
      <c r="HF7" s="61"/>
      <c r="HG7" s="61"/>
      <c r="HH7" s="61"/>
      <c r="HI7" s="61"/>
      <c r="HJ7" s="61"/>
      <c r="HK7" s="61"/>
      <c r="HL7" s="61"/>
      <c r="HM7" s="61"/>
      <c r="HN7" s="61"/>
      <c r="HO7" s="61"/>
      <c r="HP7" s="61"/>
      <c r="HQ7" s="61"/>
      <c r="HR7" s="62"/>
      <c r="HS7" s="63" t="s">
        <v>16</v>
      </c>
      <c r="HT7" s="61"/>
      <c r="HU7" s="61"/>
      <c r="HV7" s="61"/>
      <c r="HW7" s="61"/>
      <c r="HX7" s="61"/>
      <c r="HY7" s="61"/>
      <c r="HZ7" s="61"/>
      <c r="IA7" s="61"/>
      <c r="IB7" s="61"/>
      <c r="IC7" s="61"/>
      <c r="ID7" s="61"/>
      <c r="IE7" s="61"/>
      <c r="IF7" s="61"/>
      <c r="IG7" s="61"/>
      <c r="IH7" s="61"/>
      <c r="II7" s="61"/>
      <c r="IJ7" s="61"/>
      <c r="IK7" s="61"/>
      <c r="IL7" s="61"/>
      <c r="IM7" s="61"/>
      <c r="IN7" s="61"/>
      <c r="IO7" s="61"/>
      <c r="IP7" s="61"/>
      <c r="IQ7" s="61"/>
      <c r="IR7" s="61"/>
      <c r="IS7" s="61"/>
      <c r="IT7" s="61"/>
      <c r="IU7" s="61"/>
      <c r="IV7" s="61"/>
      <c r="IW7" s="52" t="s">
        <v>50</v>
      </c>
      <c r="IX7" s="53"/>
      <c r="IY7" s="53"/>
      <c r="IZ7" s="53"/>
      <c r="JA7" s="53"/>
      <c r="JB7" s="53"/>
      <c r="JC7" s="53"/>
      <c r="JD7" s="53"/>
      <c r="JE7" s="53"/>
      <c r="JF7" s="53"/>
      <c r="JG7" s="53"/>
      <c r="JH7" s="53"/>
      <c r="JI7" s="53"/>
      <c r="JJ7" s="53"/>
      <c r="JK7" s="53"/>
      <c r="JL7" s="53"/>
      <c r="JM7" s="53"/>
      <c r="JN7" s="53"/>
      <c r="JO7" s="53"/>
      <c r="JP7" s="53"/>
      <c r="JQ7" s="53"/>
      <c r="JR7" s="53"/>
      <c r="JS7" s="53"/>
      <c r="JT7" s="53"/>
      <c r="JU7" s="53"/>
      <c r="JV7" s="53"/>
      <c r="JW7" s="53"/>
      <c r="JX7" s="53"/>
      <c r="JY7" s="53"/>
      <c r="JZ7" s="53"/>
      <c r="KA7" s="53"/>
      <c r="KB7" s="54"/>
    </row>
    <row r="8" spans="1:288" ht="19.95" customHeight="1" x14ac:dyDescent="0.3">
      <c r="A8" s="6"/>
      <c r="B8" s="19"/>
      <c r="C8" s="12"/>
      <c r="D8" s="12"/>
      <c r="E8" s="13"/>
      <c r="F8" s="13"/>
      <c r="G8" s="13"/>
      <c r="H8" s="13"/>
      <c r="I8" s="55" t="s">
        <v>18</v>
      </c>
      <c r="J8" s="56"/>
      <c r="K8" s="56"/>
      <c r="L8" s="56"/>
      <c r="M8" s="56"/>
      <c r="N8" s="56"/>
      <c r="O8" s="56"/>
      <c r="P8" s="55" t="s">
        <v>19</v>
      </c>
      <c r="Q8" s="56"/>
      <c r="R8" s="56"/>
      <c r="S8" s="56"/>
      <c r="T8" s="56"/>
      <c r="U8" s="56"/>
      <c r="V8" s="57"/>
      <c r="W8" s="58" t="s">
        <v>20</v>
      </c>
      <c r="X8" s="58"/>
      <c r="Y8" s="58"/>
      <c r="Z8" s="58"/>
      <c r="AA8" s="58"/>
      <c r="AB8" s="58"/>
      <c r="AC8" s="59"/>
      <c r="AD8" s="60" t="s">
        <v>21</v>
      </c>
      <c r="AE8" s="58"/>
      <c r="AF8" s="58"/>
      <c r="AG8" s="58"/>
      <c r="AH8" s="58"/>
      <c r="AI8" s="58"/>
      <c r="AJ8" s="59"/>
      <c r="AK8" s="58" t="s">
        <v>22</v>
      </c>
      <c r="AL8" s="58"/>
      <c r="AM8" s="58"/>
      <c r="AN8" s="58"/>
      <c r="AO8" s="58"/>
      <c r="AP8" s="58"/>
      <c r="AQ8" s="59"/>
      <c r="AR8" s="60" t="s">
        <v>25</v>
      </c>
      <c r="AS8" s="58"/>
      <c r="AT8" s="58"/>
      <c r="AU8" s="58"/>
      <c r="AV8" s="58"/>
      <c r="AW8" s="58"/>
      <c r="AX8" s="59"/>
      <c r="AY8" s="58" t="s">
        <v>26</v>
      </c>
      <c r="AZ8" s="58"/>
      <c r="BA8" s="58"/>
      <c r="BB8" s="58"/>
      <c r="BC8" s="58"/>
      <c r="BD8" s="58"/>
      <c r="BE8" s="59"/>
      <c r="BF8" s="60" t="s">
        <v>27</v>
      </c>
      <c r="BG8" s="58"/>
      <c r="BH8" s="58"/>
      <c r="BI8" s="58"/>
      <c r="BJ8" s="58"/>
      <c r="BK8" s="58"/>
      <c r="BL8" s="59"/>
      <c r="BM8" s="58" t="s">
        <v>28</v>
      </c>
      <c r="BN8" s="58"/>
      <c r="BO8" s="58"/>
      <c r="BP8" s="58"/>
      <c r="BQ8" s="58"/>
      <c r="BR8" s="58"/>
      <c r="BS8" s="59"/>
      <c r="BT8" s="60" t="s">
        <v>29</v>
      </c>
      <c r="BU8" s="58"/>
      <c r="BV8" s="58"/>
      <c r="BW8" s="58"/>
      <c r="BX8" s="58"/>
      <c r="BY8" s="58"/>
      <c r="BZ8" s="59"/>
      <c r="CA8" s="58" t="s">
        <v>30</v>
      </c>
      <c r="CB8" s="58"/>
      <c r="CC8" s="58"/>
      <c r="CD8" s="58"/>
      <c r="CE8" s="58"/>
      <c r="CF8" s="58"/>
      <c r="CG8" s="59"/>
      <c r="CH8" s="60" t="s">
        <v>31</v>
      </c>
      <c r="CI8" s="58"/>
      <c r="CJ8" s="58"/>
      <c r="CK8" s="58"/>
      <c r="CL8" s="58"/>
      <c r="CM8" s="58"/>
      <c r="CN8" s="59"/>
      <c r="CO8" s="58" t="s">
        <v>32</v>
      </c>
      <c r="CP8" s="58"/>
      <c r="CQ8" s="58"/>
      <c r="CR8" s="58"/>
      <c r="CS8" s="58"/>
      <c r="CT8" s="58"/>
      <c r="CU8" s="59"/>
      <c r="CV8" s="60" t="s">
        <v>33</v>
      </c>
      <c r="CW8" s="58"/>
      <c r="CX8" s="58"/>
      <c r="CY8" s="58"/>
      <c r="CZ8" s="58"/>
      <c r="DA8" s="58"/>
      <c r="DB8" s="59"/>
      <c r="DC8" s="58" t="s">
        <v>34</v>
      </c>
      <c r="DD8" s="58"/>
      <c r="DE8" s="58"/>
      <c r="DF8" s="58"/>
      <c r="DG8" s="58"/>
      <c r="DH8" s="58"/>
      <c r="DI8" s="59"/>
      <c r="DJ8" s="60" t="s">
        <v>35</v>
      </c>
      <c r="DK8" s="58"/>
      <c r="DL8" s="58"/>
      <c r="DM8" s="58"/>
      <c r="DN8" s="58"/>
      <c r="DO8" s="58"/>
      <c r="DP8" s="59"/>
      <c r="DQ8" s="58" t="s">
        <v>36</v>
      </c>
      <c r="DR8" s="58"/>
      <c r="DS8" s="58"/>
      <c r="DT8" s="58"/>
      <c r="DU8" s="58"/>
      <c r="DV8" s="58"/>
      <c r="DW8" s="59"/>
      <c r="DX8" s="60" t="s">
        <v>37</v>
      </c>
      <c r="DY8" s="58"/>
      <c r="DZ8" s="58"/>
      <c r="EA8" s="58"/>
      <c r="EB8" s="58"/>
      <c r="EC8" s="58"/>
      <c r="ED8" s="59"/>
      <c r="EE8" s="58" t="s">
        <v>38</v>
      </c>
      <c r="EF8" s="58"/>
      <c r="EG8" s="58"/>
      <c r="EH8" s="58"/>
      <c r="EI8" s="58"/>
      <c r="EJ8" s="58"/>
      <c r="EK8" s="59"/>
      <c r="EL8" s="60" t="s">
        <v>39</v>
      </c>
      <c r="EM8" s="58"/>
      <c r="EN8" s="58"/>
      <c r="EO8" s="58"/>
      <c r="EP8" s="58"/>
      <c r="EQ8" s="58"/>
      <c r="ER8" s="59"/>
      <c r="ES8" s="58" t="s">
        <v>40</v>
      </c>
      <c r="ET8" s="58"/>
      <c r="EU8" s="58"/>
      <c r="EV8" s="58"/>
      <c r="EW8" s="58"/>
      <c r="EX8" s="58"/>
      <c r="EY8" s="59"/>
      <c r="EZ8" s="60" t="s">
        <v>41</v>
      </c>
      <c r="FA8" s="58"/>
      <c r="FB8" s="58"/>
      <c r="FC8" s="58"/>
      <c r="FD8" s="58"/>
      <c r="FE8" s="58"/>
      <c r="FF8" s="59"/>
      <c r="FG8" s="58" t="s">
        <v>42</v>
      </c>
      <c r="FH8" s="58"/>
      <c r="FI8" s="58"/>
      <c r="FJ8" s="58"/>
      <c r="FK8" s="58"/>
      <c r="FL8" s="58"/>
      <c r="FM8" s="59"/>
      <c r="FN8" s="60" t="s">
        <v>43</v>
      </c>
      <c r="FO8" s="58"/>
      <c r="FP8" s="58"/>
      <c r="FQ8" s="58"/>
      <c r="FR8" s="58"/>
      <c r="FS8" s="58"/>
      <c r="FT8" s="59"/>
      <c r="FU8" s="58" t="s">
        <v>44</v>
      </c>
      <c r="FV8" s="58"/>
      <c r="FW8" s="58"/>
      <c r="FX8" s="58"/>
      <c r="FY8" s="58"/>
      <c r="FZ8" s="58"/>
      <c r="GA8" s="59"/>
      <c r="GB8" s="60" t="s">
        <v>45</v>
      </c>
      <c r="GC8" s="58"/>
      <c r="GD8" s="58"/>
      <c r="GE8" s="58"/>
      <c r="GF8" s="58"/>
      <c r="GG8" s="58"/>
      <c r="GH8" s="59"/>
      <c r="GI8" s="58" t="s">
        <v>46</v>
      </c>
      <c r="GJ8" s="58"/>
      <c r="GK8" s="58"/>
      <c r="GL8" s="58"/>
      <c r="GM8" s="58"/>
      <c r="GN8" s="58"/>
      <c r="GO8" s="59"/>
      <c r="GP8" s="60" t="s">
        <v>47</v>
      </c>
      <c r="GQ8" s="58"/>
      <c r="GR8" s="58"/>
      <c r="GS8" s="58"/>
      <c r="GT8" s="58"/>
      <c r="GU8" s="58"/>
      <c r="GV8" s="59"/>
      <c r="GW8" s="58" t="s">
        <v>48</v>
      </c>
      <c r="GX8" s="58"/>
      <c r="GY8" s="58"/>
      <c r="GZ8" s="58"/>
      <c r="HA8" s="58"/>
      <c r="HB8" s="58"/>
      <c r="HC8" s="59"/>
      <c r="HD8" s="60" t="s">
        <v>49</v>
      </c>
      <c r="HE8" s="58"/>
      <c r="HF8" s="58"/>
      <c r="HG8" s="58"/>
      <c r="HH8" s="58"/>
      <c r="HI8" s="58"/>
      <c r="HJ8" s="59"/>
      <c r="HK8" s="58" t="s">
        <v>51</v>
      </c>
      <c r="HL8" s="58"/>
      <c r="HM8" s="58"/>
      <c r="HN8" s="58"/>
      <c r="HO8" s="58"/>
      <c r="HP8" s="58"/>
      <c r="HQ8" s="59"/>
      <c r="HR8" s="60" t="s">
        <v>52</v>
      </c>
      <c r="HS8" s="58"/>
      <c r="HT8" s="58"/>
      <c r="HU8" s="58"/>
      <c r="HV8" s="58"/>
      <c r="HW8" s="58"/>
      <c r="HX8" s="59"/>
      <c r="HY8" s="58" t="s">
        <v>53</v>
      </c>
      <c r="HZ8" s="58"/>
      <c r="IA8" s="58"/>
      <c r="IB8" s="58"/>
      <c r="IC8" s="58"/>
      <c r="ID8" s="58"/>
      <c r="IE8" s="59"/>
      <c r="IF8" s="60" t="s">
        <v>54</v>
      </c>
      <c r="IG8" s="58"/>
      <c r="IH8" s="58"/>
      <c r="II8" s="58"/>
      <c r="IJ8" s="58"/>
      <c r="IK8" s="58"/>
      <c r="IL8" s="59"/>
      <c r="IM8" s="58" t="s">
        <v>55</v>
      </c>
      <c r="IN8" s="58"/>
      <c r="IO8" s="58"/>
      <c r="IP8" s="58"/>
      <c r="IQ8" s="58"/>
      <c r="IR8" s="58"/>
      <c r="IS8" s="59"/>
      <c r="IT8" s="60" t="s">
        <v>56</v>
      </c>
      <c r="IU8" s="58"/>
      <c r="IV8" s="58"/>
      <c r="IW8" s="58"/>
      <c r="IX8" s="58"/>
      <c r="IY8" s="58"/>
      <c r="IZ8" s="59"/>
      <c r="JA8" s="58" t="s">
        <v>57</v>
      </c>
      <c r="JB8" s="58"/>
      <c r="JC8" s="58"/>
      <c r="JD8" s="58"/>
      <c r="JE8" s="58"/>
      <c r="JF8" s="58"/>
      <c r="JG8" s="59"/>
      <c r="JH8" s="60" t="s">
        <v>58</v>
      </c>
      <c r="JI8" s="58"/>
      <c r="JJ8" s="58"/>
      <c r="JK8" s="58"/>
      <c r="JL8" s="58"/>
      <c r="JM8" s="58"/>
      <c r="JN8" s="59"/>
      <c r="JO8" s="58" t="s">
        <v>59</v>
      </c>
      <c r="JP8" s="58"/>
      <c r="JQ8" s="58"/>
      <c r="JR8" s="58"/>
      <c r="JS8" s="58"/>
      <c r="JT8" s="58"/>
      <c r="JU8" s="58"/>
      <c r="JV8" s="60" t="s">
        <v>60</v>
      </c>
      <c r="JW8" s="58"/>
      <c r="JX8" s="58"/>
      <c r="JY8" s="58"/>
      <c r="JZ8" s="58"/>
      <c r="KA8" s="58"/>
      <c r="KB8" s="59"/>
    </row>
    <row r="9" spans="1:288" ht="40.200000000000003" customHeight="1" x14ac:dyDescent="0.3">
      <c r="A9" s="6"/>
      <c r="B9" s="45" t="s">
        <v>2</v>
      </c>
      <c r="C9" s="20" t="s">
        <v>3</v>
      </c>
      <c r="D9" s="20" t="s">
        <v>4</v>
      </c>
      <c r="E9" s="20" t="s">
        <v>5</v>
      </c>
      <c r="F9" s="20" t="s">
        <v>6</v>
      </c>
      <c r="G9" s="20" t="s">
        <v>7</v>
      </c>
      <c r="H9" s="21"/>
      <c r="I9" s="38">
        <v>45956</v>
      </c>
      <c r="J9" s="39">
        <f>I9+1</f>
        <v>45957</v>
      </c>
      <c r="K9" s="39">
        <f t="shared" ref="K9:O9" si="0">J9+1</f>
        <v>45958</v>
      </c>
      <c r="L9" s="39">
        <f t="shared" si="0"/>
        <v>45959</v>
      </c>
      <c r="M9" s="39">
        <f t="shared" si="0"/>
        <v>45960</v>
      </c>
      <c r="N9" s="39">
        <f t="shared" si="0"/>
        <v>45961</v>
      </c>
      <c r="O9" s="40">
        <f t="shared" si="0"/>
        <v>45962</v>
      </c>
      <c r="P9" s="38">
        <f>O9+1</f>
        <v>45963</v>
      </c>
      <c r="Q9" s="39">
        <f t="shared" ref="Q9:V9" si="1">P9+1</f>
        <v>45964</v>
      </c>
      <c r="R9" s="39">
        <f t="shared" si="1"/>
        <v>45965</v>
      </c>
      <c r="S9" s="39">
        <f t="shared" si="1"/>
        <v>45966</v>
      </c>
      <c r="T9" s="39">
        <f t="shared" si="1"/>
        <v>45967</v>
      </c>
      <c r="U9" s="39">
        <f t="shared" si="1"/>
        <v>45968</v>
      </c>
      <c r="V9" s="40">
        <f t="shared" si="1"/>
        <v>45969</v>
      </c>
      <c r="W9" s="38">
        <f>V9+1</f>
        <v>45970</v>
      </c>
      <c r="X9" s="39">
        <f t="shared" ref="X9:AC9" si="2">W9+1</f>
        <v>45971</v>
      </c>
      <c r="Y9" s="39">
        <f t="shared" si="2"/>
        <v>45972</v>
      </c>
      <c r="Z9" s="39">
        <f t="shared" si="2"/>
        <v>45973</v>
      </c>
      <c r="AA9" s="39">
        <f t="shared" si="2"/>
        <v>45974</v>
      </c>
      <c r="AB9" s="39">
        <f t="shared" si="2"/>
        <v>45975</v>
      </c>
      <c r="AC9" s="40">
        <f t="shared" si="2"/>
        <v>45976</v>
      </c>
      <c r="AD9" s="38">
        <f>AC9+1</f>
        <v>45977</v>
      </c>
      <c r="AE9" s="39">
        <f t="shared" ref="AE9:AJ9" si="3">AD9+1</f>
        <v>45978</v>
      </c>
      <c r="AF9" s="39">
        <f t="shared" si="3"/>
        <v>45979</v>
      </c>
      <c r="AG9" s="39">
        <f t="shared" si="3"/>
        <v>45980</v>
      </c>
      <c r="AH9" s="39">
        <f t="shared" si="3"/>
        <v>45981</v>
      </c>
      <c r="AI9" s="39">
        <f t="shared" si="3"/>
        <v>45982</v>
      </c>
      <c r="AJ9" s="40">
        <f t="shared" si="3"/>
        <v>45983</v>
      </c>
      <c r="AK9" s="38">
        <f>AJ9+1</f>
        <v>45984</v>
      </c>
      <c r="AL9" s="39">
        <f t="shared" ref="AL9:AQ9" si="4">AK9+1</f>
        <v>45985</v>
      </c>
      <c r="AM9" s="39">
        <f t="shared" si="4"/>
        <v>45986</v>
      </c>
      <c r="AN9" s="39">
        <f t="shared" si="4"/>
        <v>45987</v>
      </c>
      <c r="AO9" s="39">
        <f t="shared" si="4"/>
        <v>45988</v>
      </c>
      <c r="AP9" s="39">
        <f t="shared" si="4"/>
        <v>45989</v>
      </c>
      <c r="AQ9" s="40">
        <f t="shared" si="4"/>
        <v>45990</v>
      </c>
      <c r="AR9" s="38">
        <f>AQ9+1</f>
        <v>45991</v>
      </c>
      <c r="AS9" s="39">
        <f t="shared" ref="AS9:DD9" si="5">AR9+1</f>
        <v>45992</v>
      </c>
      <c r="AT9" s="39">
        <f t="shared" si="5"/>
        <v>45993</v>
      </c>
      <c r="AU9" s="39">
        <f t="shared" si="5"/>
        <v>45994</v>
      </c>
      <c r="AV9" s="39">
        <f t="shared" si="5"/>
        <v>45995</v>
      </c>
      <c r="AW9" s="39">
        <f t="shared" si="5"/>
        <v>45996</v>
      </c>
      <c r="AX9" s="40">
        <f t="shared" si="5"/>
        <v>45997</v>
      </c>
      <c r="AY9" s="38">
        <f t="shared" si="5"/>
        <v>45998</v>
      </c>
      <c r="AZ9" s="39">
        <f t="shared" si="5"/>
        <v>45999</v>
      </c>
      <c r="BA9" s="39">
        <f t="shared" si="5"/>
        <v>46000</v>
      </c>
      <c r="BB9" s="39">
        <f t="shared" si="5"/>
        <v>46001</v>
      </c>
      <c r="BC9" s="39">
        <f t="shared" si="5"/>
        <v>46002</v>
      </c>
      <c r="BD9" s="39">
        <f t="shared" si="5"/>
        <v>46003</v>
      </c>
      <c r="BE9" s="40">
        <f t="shared" si="5"/>
        <v>46004</v>
      </c>
      <c r="BF9" s="38">
        <f t="shared" si="5"/>
        <v>46005</v>
      </c>
      <c r="BG9" s="39">
        <f t="shared" si="5"/>
        <v>46006</v>
      </c>
      <c r="BH9" s="39">
        <f t="shared" si="5"/>
        <v>46007</v>
      </c>
      <c r="BI9" s="39">
        <f t="shared" si="5"/>
        <v>46008</v>
      </c>
      <c r="BJ9" s="39">
        <f t="shared" si="5"/>
        <v>46009</v>
      </c>
      <c r="BK9" s="39">
        <f t="shared" si="5"/>
        <v>46010</v>
      </c>
      <c r="BL9" s="40">
        <f t="shared" si="5"/>
        <v>46011</v>
      </c>
      <c r="BM9" s="38">
        <f t="shared" si="5"/>
        <v>46012</v>
      </c>
      <c r="BN9" s="39">
        <f t="shared" si="5"/>
        <v>46013</v>
      </c>
      <c r="BO9" s="39">
        <f t="shared" si="5"/>
        <v>46014</v>
      </c>
      <c r="BP9" s="39">
        <f t="shared" si="5"/>
        <v>46015</v>
      </c>
      <c r="BQ9" s="39">
        <f t="shared" si="5"/>
        <v>46016</v>
      </c>
      <c r="BR9" s="39">
        <f t="shared" si="5"/>
        <v>46017</v>
      </c>
      <c r="BS9" s="40">
        <f t="shared" si="5"/>
        <v>46018</v>
      </c>
      <c r="BT9" s="38">
        <f t="shared" si="5"/>
        <v>46019</v>
      </c>
      <c r="BU9" s="39">
        <f t="shared" si="5"/>
        <v>46020</v>
      </c>
      <c r="BV9" s="39">
        <f t="shared" si="5"/>
        <v>46021</v>
      </c>
      <c r="BW9" s="39">
        <f t="shared" si="5"/>
        <v>46022</v>
      </c>
      <c r="BX9" s="39">
        <f t="shared" si="5"/>
        <v>46023</v>
      </c>
      <c r="BY9" s="39">
        <f t="shared" si="5"/>
        <v>46024</v>
      </c>
      <c r="BZ9" s="40">
        <f t="shared" si="5"/>
        <v>46025</v>
      </c>
      <c r="CA9" s="38">
        <f t="shared" si="5"/>
        <v>46026</v>
      </c>
      <c r="CB9" s="39">
        <f t="shared" si="5"/>
        <v>46027</v>
      </c>
      <c r="CC9" s="39">
        <f t="shared" si="5"/>
        <v>46028</v>
      </c>
      <c r="CD9" s="39">
        <f t="shared" si="5"/>
        <v>46029</v>
      </c>
      <c r="CE9" s="39">
        <f t="shared" si="5"/>
        <v>46030</v>
      </c>
      <c r="CF9" s="39">
        <f t="shared" si="5"/>
        <v>46031</v>
      </c>
      <c r="CG9" s="40">
        <f t="shared" si="5"/>
        <v>46032</v>
      </c>
      <c r="CH9" s="38">
        <f t="shared" si="5"/>
        <v>46033</v>
      </c>
      <c r="CI9" s="39">
        <f t="shared" si="5"/>
        <v>46034</v>
      </c>
      <c r="CJ9" s="39">
        <f t="shared" si="5"/>
        <v>46035</v>
      </c>
      <c r="CK9" s="39">
        <f t="shared" si="5"/>
        <v>46036</v>
      </c>
      <c r="CL9" s="39">
        <f t="shared" si="5"/>
        <v>46037</v>
      </c>
      <c r="CM9" s="39">
        <f t="shared" si="5"/>
        <v>46038</v>
      </c>
      <c r="CN9" s="40">
        <f t="shared" si="5"/>
        <v>46039</v>
      </c>
      <c r="CO9" s="38">
        <f t="shared" si="5"/>
        <v>46040</v>
      </c>
      <c r="CP9" s="39">
        <f t="shared" si="5"/>
        <v>46041</v>
      </c>
      <c r="CQ9" s="39">
        <f t="shared" si="5"/>
        <v>46042</v>
      </c>
      <c r="CR9" s="39">
        <f t="shared" si="5"/>
        <v>46043</v>
      </c>
      <c r="CS9" s="39">
        <f t="shared" si="5"/>
        <v>46044</v>
      </c>
      <c r="CT9" s="39">
        <f t="shared" si="5"/>
        <v>46045</v>
      </c>
      <c r="CU9" s="40">
        <f t="shared" si="5"/>
        <v>46046</v>
      </c>
      <c r="CV9" s="38">
        <f t="shared" si="5"/>
        <v>46047</v>
      </c>
      <c r="CW9" s="39">
        <f t="shared" si="5"/>
        <v>46048</v>
      </c>
      <c r="CX9" s="39">
        <f t="shared" si="5"/>
        <v>46049</v>
      </c>
      <c r="CY9" s="39">
        <f t="shared" si="5"/>
        <v>46050</v>
      </c>
      <c r="CZ9" s="39">
        <f t="shared" si="5"/>
        <v>46051</v>
      </c>
      <c r="DA9" s="39">
        <f t="shared" si="5"/>
        <v>46052</v>
      </c>
      <c r="DB9" s="40">
        <f t="shared" si="5"/>
        <v>46053</v>
      </c>
      <c r="DC9" s="38">
        <f t="shared" si="5"/>
        <v>46054</v>
      </c>
      <c r="DD9" s="39">
        <f t="shared" si="5"/>
        <v>46055</v>
      </c>
      <c r="DE9" s="39">
        <f t="shared" ref="DE9:FP9" si="6">DD9+1</f>
        <v>46056</v>
      </c>
      <c r="DF9" s="39">
        <f t="shared" si="6"/>
        <v>46057</v>
      </c>
      <c r="DG9" s="39">
        <f t="shared" si="6"/>
        <v>46058</v>
      </c>
      <c r="DH9" s="39">
        <f t="shared" si="6"/>
        <v>46059</v>
      </c>
      <c r="DI9" s="40">
        <f t="shared" si="6"/>
        <v>46060</v>
      </c>
      <c r="DJ9" s="38">
        <f t="shared" si="6"/>
        <v>46061</v>
      </c>
      <c r="DK9" s="39">
        <f t="shared" si="6"/>
        <v>46062</v>
      </c>
      <c r="DL9" s="39">
        <f t="shared" si="6"/>
        <v>46063</v>
      </c>
      <c r="DM9" s="39">
        <f t="shared" si="6"/>
        <v>46064</v>
      </c>
      <c r="DN9" s="39">
        <f t="shared" si="6"/>
        <v>46065</v>
      </c>
      <c r="DO9" s="39">
        <f t="shared" si="6"/>
        <v>46066</v>
      </c>
      <c r="DP9" s="40">
        <f t="shared" si="6"/>
        <v>46067</v>
      </c>
      <c r="DQ9" s="38">
        <f t="shared" si="6"/>
        <v>46068</v>
      </c>
      <c r="DR9" s="39">
        <f t="shared" si="6"/>
        <v>46069</v>
      </c>
      <c r="DS9" s="39">
        <f t="shared" si="6"/>
        <v>46070</v>
      </c>
      <c r="DT9" s="39">
        <f t="shared" si="6"/>
        <v>46071</v>
      </c>
      <c r="DU9" s="39">
        <f t="shared" si="6"/>
        <v>46072</v>
      </c>
      <c r="DV9" s="39">
        <f t="shared" si="6"/>
        <v>46073</v>
      </c>
      <c r="DW9" s="40">
        <f t="shared" si="6"/>
        <v>46074</v>
      </c>
      <c r="DX9" s="38">
        <f t="shared" si="6"/>
        <v>46075</v>
      </c>
      <c r="DY9" s="39">
        <f t="shared" si="6"/>
        <v>46076</v>
      </c>
      <c r="DZ9" s="39">
        <f t="shared" si="6"/>
        <v>46077</v>
      </c>
      <c r="EA9" s="39">
        <f t="shared" si="6"/>
        <v>46078</v>
      </c>
      <c r="EB9" s="39">
        <f t="shared" si="6"/>
        <v>46079</v>
      </c>
      <c r="EC9" s="39">
        <f t="shared" si="6"/>
        <v>46080</v>
      </c>
      <c r="ED9" s="40">
        <f t="shared" si="6"/>
        <v>46081</v>
      </c>
      <c r="EE9" s="38">
        <f t="shared" si="6"/>
        <v>46082</v>
      </c>
      <c r="EF9" s="39">
        <f t="shared" si="6"/>
        <v>46083</v>
      </c>
      <c r="EG9" s="39">
        <f t="shared" si="6"/>
        <v>46084</v>
      </c>
      <c r="EH9" s="39">
        <f t="shared" si="6"/>
        <v>46085</v>
      </c>
      <c r="EI9" s="39">
        <f t="shared" si="6"/>
        <v>46086</v>
      </c>
      <c r="EJ9" s="39">
        <f t="shared" si="6"/>
        <v>46087</v>
      </c>
      <c r="EK9" s="40">
        <f t="shared" si="6"/>
        <v>46088</v>
      </c>
      <c r="EL9" s="38">
        <f t="shared" si="6"/>
        <v>46089</v>
      </c>
      <c r="EM9" s="39">
        <f t="shared" si="6"/>
        <v>46090</v>
      </c>
      <c r="EN9" s="39">
        <f t="shared" si="6"/>
        <v>46091</v>
      </c>
      <c r="EO9" s="39">
        <f t="shared" si="6"/>
        <v>46092</v>
      </c>
      <c r="EP9" s="39">
        <f t="shared" si="6"/>
        <v>46093</v>
      </c>
      <c r="EQ9" s="39">
        <f t="shared" si="6"/>
        <v>46094</v>
      </c>
      <c r="ER9" s="40">
        <f t="shared" si="6"/>
        <v>46095</v>
      </c>
      <c r="ES9" s="38">
        <f t="shared" si="6"/>
        <v>46096</v>
      </c>
      <c r="ET9" s="39">
        <f t="shared" si="6"/>
        <v>46097</v>
      </c>
      <c r="EU9" s="39">
        <f t="shared" si="6"/>
        <v>46098</v>
      </c>
      <c r="EV9" s="39">
        <f t="shared" si="6"/>
        <v>46099</v>
      </c>
      <c r="EW9" s="39">
        <f t="shared" si="6"/>
        <v>46100</v>
      </c>
      <c r="EX9" s="39">
        <f t="shared" si="6"/>
        <v>46101</v>
      </c>
      <c r="EY9" s="40">
        <f t="shared" si="6"/>
        <v>46102</v>
      </c>
      <c r="EZ9" s="38">
        <f t="shared" si="6"/>
        <v>46103</v>
      </c>
      <c r="FA9" s="39">
        <f t="shared" si="6"/>
        <v>46104</v>
      </c>
      <c r="FB9" s="39">
        <f t="shared" si="6"/>
        <v>46105</v>
      </c>
      <c r="FC9" s="39">
        <f t="shared" si="6"/>
        <v>46106</v>
      </c>
      <c r="FD9" s="39">
        <f t="shared" si="6"/>
        <v>46107</v>
      </c>
      <c r="FE9" s="39">
        <f t="shared" si="6"/>
        <v>46108</v>
      </c>
      <c r="FF9" s="40">
        <f t="shared" si="6"/>
        <v>46109</v>
      </c>
      <c r="FG9" s="38">
        <f t="shared" si="6"/>
        <v>46110</v>
      </c>
      <c r="FH9" s="39">
        <f t="shared" si="6"/>
        <v>46111</v>
      </c>
      <c r="FI9" s="39">
        <f t="shared" si="6"/>
        <v>46112</v>
      </c>
      <c r="FJ9" s="39">
        <f t="shared" si="6"/>
        <v>46113</v>
      </c>
      <c r="FK9" s="39">
        <f t="shared" si="6"/>
        <v>46114</v>
      </c>
      <c r="FL9" s="39">
        <f t="shared" si="6"/>
        <v>46115</v>
      </c>
      <c r="FM9" s="40">
        <f t="shared" si="6"/>
        <v>46116</v>
      </c>
      <c r="FN9" s="38">
        <f t="shared" si="6"/>
        <v>46117</v>
      </c>
      <c r="FO9" s="39">
        <f t="shared" si="6"/>
        <v>46118</v>
      </c>
      <c r="FP9" s="39">
        <f t="shared" si="6"/>
        <v>46119</v>
      </c>
      <c r="FQ9" s="39">
        <f t="shared" ref="FQ9:IB9" si="7">FP9+1</f>
        <v>46120</v>
      </c>
      <c r="FR9" s="39">
        <f t="shared" si="7"/>
        <v>46121</v>
      </c>
      <c r="FS9" s="39">
        <f t="shared" si="7"/>
        <v>46122</v>
      </c>
      <c r="FT9" s="40">
        <f t="shared" si="7"/>
        <v>46123</v>
      </c>
      <c r="FU9" s="38">
        <f t="shared" si="7"/>
        <v>46124</v>
      </c>
      <c r="FV9" s="39">
        <f t="shared" si="7"/>
        <v>46125</v>
      </c>
      <c r="FW9" s="39">
        <f t="shared" si="7"/>
        <v>46126</v>
      </c>
      <c r="FX9" s="39">
        <f t="shared" si="7"/>
        <v>46127</v>
      </c>
      <c r="FY9" s="39">
        <f t="shared" si="7"/>
        <v>46128</v>
      </c>
      <c r="FZ9" s="39">
        <f t="shared" si="7"/>
        <v>46129</v>
      </c>
      <c r="GA9" s="40">
        <f t="shared" si="7"/>
        <v>46130</v>
      </c>
      <c r="GB9" s="38">
        <f t="shared" si="7"/>
        <v>46131</v>
      </c>
      <c r="GC9" s="39">
        <f t="shared" si="7"/>
        <v>46132</v>
      </c>
      <c r="GD9" s="39">
        <f t="shared" si="7"/>
        <v>46133</v>
      </c>
      <c r="GE9" s="39">
        <f t="shared" si="7"/>
        <v>46134</v>
      </c>
      <c r="GF9" s="39">
        <f t="shared" si="7"/>
        <v>46135</v>
      </c>
      <c r="GG9" s="39">
        <f t="shared" si="7"/>
        <v>46136</v>
      </c>
      <c r="GH9" s="40">
        <f t="shared" si="7"/>
        <v>46137</v>
      </c>
      <c r="GI9" s="38">
        <f t="shared" si="7"/>
        <v>46138</v>
      </c>
      <c r="GJ9" s="39">
        <f t="shared" si="7"/>
        <v>46139</v>
      </c>
      <c r="GK9" s="39">
        <f t="shared" si="7"/>
        <v>46140</v>
      </c>
      <c r="GL9" s="39">
        <f t="shared" si="7"/>
        <v>46141</v>
      </c>
      <c r="GM9" s="39">
        <f t="shared" si="7"/>
        <v>46142</v>
      </c>
      <c r="GN9" s="39">
        <f t="shared" si="7"/>
        <v>46143</v>
      </c>
      <c r="GO9" s="40">
        <f t="shared" si="7"/>
        <v>46144</v>
      </c>
      <c r="GP9" s="38">
        <f t="shared" si="7"/>
        <v>46145</v>
      </c>
      <c r="GQ9" s="39">
        <f t="shared" si="7"/>
        <v>46146</v>
      </c>
      <c r="GR9" s="39">
        <f t="shared" si="7"/>
        <v>46147</v>
      </c>
      <c r="GS9" s="39">
        <f t="shared" si="7"/>
        <v>46148</v>
      </c>
      <c r="GT9" s="39">
        <f t="shared" si="7"/>
        <v>46149</v>
      </c>
      <c r="GU9" s="39">
        <f t="shared" si="7"/>
        <v>46150</v>
      </c>
      <c r="GV9" s="40">
        <f t="shared" si="7"/>
        <v>46151</v>
      </c>
      <c r="GW9" s="38">
        <f t="shared" si="7"/>
        <v>46152</v>
      </c>
      <c r="GX9" s="39">
        <f t="shared" si="7"/>
        <v>46153</v>
      </c>
      <c r="GY9" s="39">
        <f t="shared" si="7"/>
        <v>46154</v>
      </c>
      <c r="GZ9" s="39">
        <f t="shared" si="7"/>
        <v>46155</v>
      </c>
      <c r="HA9" s="39">
        <f t="shared" si="7"/>
        <v>46156</v>
      </c>
      <c r="HB9" s="39">
        <f t="shared" si="7"/>
        <v>46157</v>
      </c>
      <c r="HC9" s="40">
        <f t="shared" si="7"/>
        <v>46158</v>
      </c>
      <c r="HD9" s="38">
        <f t="shared" si="7"/>
        <v>46159</v>
      </c>
      <c r="HE9" s="39">
        <f t="shared" si="7"/>
        <v>46160</v>
      </c>
      <c r="HF9" s="39">
        <f t="shared" si="7"/>
        <v>46161</v>
      </c>
      <c r="HG9" s="39">
        <f t="shared" si="7"/>
        <v>46162</v>
      </c>
      <c r="HH9" s="39">
        <f t="shared" si="7"/>
        <v>46163</v>
      </c>
      <c r="HI9" s="39">
        <f t="shared" si="7"/>
        <v>46164</v>
      </c>
      <c r="HJ9" s="40">
        <f t="shared" si="7"/>
        <v>46165</v>
      </c>
      <c r="HK9" s="38">
        <f t="shared" si="7"/>
        <v>46166</v>
      </c>
      <c r="HL9" s="39">
        <f t="shared" si="7"/>
        <v>46167</v>
      </c>
      <c r="HM9" s="39">
        <f t="shared" si="7"/>
        <v>46168</v>
      </c>
      <c r="HN9" s="39">
        <f t="shared" si="7"/>
        <v>46169</v>
      </c>
      <c r="HO9" s="39">
        <f t="shared" si="7"/>
        <v>46170</v>
      </c>
      <c r="HP9" s="39">
        <f t="shared" si="7"/>
        <v>46171</v>
      </c>
      <c r="HQ9" s="40">
        <f t="shared" si="7"/>
        <v>46172</v>
      </c>
      <c r="HR9" s="38">
        <f t="shared" si="7"/>
        <v>46173</v>
      </c>
      <c r="HS9" s="39">
        <f t="shared" si="7"/>
        <v>46174</v>
      </c>
      <c r="HT9" s="39">
        <f t="shared" si="7"/>
        <v>46175</v>
      </c>
      <c r="HU9" s="39">
        <f t="shared" si="7"/>
        <v>46176</v>
      </c>
      <c r="HV9" s="39">
        <f t="shared" si="7"/>
        <v>46177</v>
      </c>
      <c r="HW9" s="39">
        <f t="shared" si="7"/>
        <v>46178</v>
      </c>
      <c r="HX9" s="40">
        <f t="shared" si="7"/>
        <v>46179</v>
      </c>
      <c r="HY9" s="38">
        <f t="shared" si="7"/>
        <v>46180</v>
      </c>
      <c r="HZ9" s="39">
        <f t="shared" si="7"/>
        <v>46181</v>
      </c>
      <c r="IA9" s="39">
        <f t="shared" si="7"/>
        <v>46182</v>
      </c>
      <c r="IB9" s="39">
        <f t="shared" si="7"/>
        <v>46183</v>
      </c>
      <c r="IC9" s="39">
        <f t="shared" ref="IC9:KB9" si="8">IB9+1</f>
        <v>46184</v>
      </c>
      <c r="ID9" s="39">
        <f t="shared" si="8"/>
        <v>46185</v>
      </c>
      <c r="IE9" s="40">
        <f t="shared" si="8"/>
        <v>46186</v>
      </c>
      <c r="IF9" s="38">
        <f t="shared" si="8"/>
        <v>46187</v>
      </c>
      <c r="IG9" s="39">
        <f t="shared" si="8"/>
        <v>46188</v>
      </c>
      <c r="IH9" s="39">
        <f t="shared" si="8"/>
        <v>46189</v>
      </c>
      <c r="II9" s="39">
        <f t="shared" si="8"/>
        <v>46190</v>
      </c>
      <c r="IJ9" s="39">
        <f t="shared" si="8"/>
        <v>46191</v>
      </c>
      <c r="IK9" s="39">
        <f t="shared" si="8"/>
        <v>46192</v>
      </c>
      <c r="IL9" s="40">
        <f t="shared" si="8"/>
        <v>46193</v>
      </c>
      <c r="IM9" s="38">
        <f t="shared" si="8"/>
        <v>46194</v>
      </c>
      <c r="IN9" s="39">
        <f t="shared" si="8"/>
        <v>46195</v>
      </c>
      <c r="IO9" s="39">
        <f t="shared" si="8"/>
        <v>46196</v>
      </c>
      <c r="IP9" s="39">
        <f t="shared" si="8"/>
        <v>46197</v>
      </c>
      <c r="IQ9" s="39">
        <f t="shared" si="8"/>
        <v>46198</v>
      </c>
      <c r="IR9" s="39">
        <f t="shared" si="8"/>
        <v>46199</v>
      </c>
      <c r="IS9" s="40">
        <f t="shared" si="8"/>
        <v>46200</v>
      </c>
      <c r="IT9" s="38">
        <f t="shared" si="8"/>
        <v>46201</v>
      </c>
      <c r="IU9" s="39">
        <f t="shared" si="8"/>
        <v>46202</v>
      </c>
      <c r="IV9" s="39">
        <f t="shared" si="8"/>
        <v>46203</v>
      </c>
      <c r="IW9" s="39">
        <f t="shared" si="8"/>
        <v>46204</v>
      </c>
      <c r="IX9" s="39">
        <f t="shared" si="8"/>
        <v>46205</v>
      </c>
      <c r="IY9" s="39">
        <f t="shared" si="8"/>
        <v>46206</v>
      </c>
      <c r="IZ9" s="40">
        <f t="shared" si="8"/>
        <v>46207</v>
      </c>
      <c r="JA9" s="38">
        <f t="shared" si="8"/>
        <v>46208</v>
      </c>
      <c r="JB9" s="39">
        <f t="shared" si="8"/>
        <v>46209</v>
      </c>
      <c r="JC9" s="39">
        <f t="shared" si="8"/>
        <v>46210</v>
      </c>
      <c r="JD9" s="39">
        <f t="shared" si="8"/>
        <v>46211</v>
      </c>
      <c r="JE9" s="39">
        <f t="shared" si="8"/>
        <v>46212</v>
      </c>
      <c r="JF9" s="39">
        <f t="shared" si="8"/>
        <v>46213</v>
      </c>
      <c r="JG9" s="40">
        <f t="shared" si="8"/>
        <v>46214</v>
      </c>
      <c r="JH9" s="38">
        <f t="shared" si="8"/>
        <v>46215</v>
      </c>
      <c r="JI9" s="39">
        <f t="shared" si="8"/>
        <v>46216</v>
      </c>
      <c r="JJ9" s="39">
        <f t="shared" si="8"/>
        <v>46217</v>
      </c>
      <c r="JK9" s="39">
        <f t="shared" si="8"/>
        <v>46218</v>
      </c>
      <c r="JL9" s="39">
        <f t="shared" si="8"/>
        <v>46219</v>
      </c>
      <c r="JM9" s="39">
        <f t="shared" si="8"/>
        <v>46220</v>
      </c>
      <c r="JN9" s="40">
        <f t="shared" si="8"/>
        <v>46221</v>
      </c>
      <c r="JO9" s="38">
        <f t="shared" si="8"/>
        <v>46222</v>
      </c>
      <c r="JP9" s="39">
        <f t="shared" si="8"/>
        <v>46223</v>
      </c>
      <c r="JQ9" s="39">
        <f t="shared" si="8"/>
        <v>46224</v>
      </c>
      <c r="JR9" s="39">
        <f t="shared" si="8"/>
        <v>46225</v>
      </c>
      <c r="JS9" s="39">
        <f t="shared" si="8"/>
        <v>46226</v>
      </c>
      <c r="JT9" s="39">
        <f t="shared" si="8"/>
        <v>46227</v>
      </c>
      <c r="JU9" s="39">
        <f t="shared" si="8"/>
        <v>46228</v>
      </c>
      <c r="JV9" s="38">
        <f t="shared" si="8"/>
        <v>46229</v>
      </c>
      <c r="JW9" s="39">
        <f t="shared" si="8"/>
        <v>46230</v>
      </c>
      <c r="JX9" s="39">
        <f t="shared" si="8"/>
        <v>46231</v>
      </c>
      <c r="JY9" s="39">
        <f t="shared" si="8"/>
        <v>46232</v>
      </c>
      <c r="JZ9" s="39">
        <f t="shared" si="8"/>
        <v>46233</v>
      </c>
      <c r="KA9" s="39">
        <f t="shared" si="8"/>
        <v>46234</v>
      </c>
      <c r="KB9" s="40">
        <f t="shared" si="8"/>
        <v>46235</v>
      </c>
    </row>
    <row r="10" spans="1:288" ht="30" hidden="1" customHeight="1" x14ac:dyDescent="0.3">
      <c r="B10" s="46"/>
      <c r="C10" s="22"/>
      <c r="D10" s="23"/>
      <c r="E10" s="22"/>
      <c r="F10" s="24"/>
      <c r="G10" s="25"/>
      <c r="I10" s="35"/>
      <c r="J10" s="35"/>
      <c r="K10" s="35"/>
      <c r="L10" s="35"/>
      <c r="M10" s="35"/>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c r="BM10" s="35"/>
      <c r="BN10" s="35"/>
      <c r="BO10" s="35"/>
      <c r="BP10" s="35"/>
      <c r="BQ10" s="35"/>
      <c r="BR10" s="35"/>
      <c r="BS10" s="35"/>
      <c r="BT10" s="35"/>
      <c r="BU10" s="36"/>
      <c r="BV10" s="36"/>
      <c r="BW10" s="36"/>
      <c r="BX10" s="36"/>
      <c r="BY10" s="36"/>
      <c r="BZ10" s="36"/>
      <c r="CA10" s="36"/>
      <c r="CB10" s="36"/>
      <c r="CC10" s="36"/>
      <c r="CD10" s="36"/>
      <c r="CE10" s="36"/>
      <c r="CF10" s="36"/>
      <c r="CG10" s="36"/>
      <c r="CH10" s="36"/>
      <c r="CI10" s="36"/>
      <c r="CJ10" s="36"/>
      <c r="CK10" s="36"/>
      <c r="CL10" s="36"/>
      <c r="CM10" s="36"/>
      <c r="CN10" s="36"/>
      <c r="CO10" s="36"/>
      <c r="CP10" s="36"/>
      <c r="CQ10" s="36"/>
      <c r="CR10" s="36"/>
      <c r="CS10" s="36"/>
      <c r="CT10" s="36"/>
      <c r="CU10" s="36"/>
      <c r="CV10" s="36"/>
      <c r="CW10" s="36"/>
      <c r="CX10" s="36"/>
      <c r="CY10" s="36"/>
      <c r="CZ10" s="36"/>
      <c r="DA10" s="36"/>
      <c r="DB10" s="36"/>
      <c r="DC10" s="36"/>
      <c r="DD10" s="36"/>
      <c r="DE10" s="36"/>
      <c r="DF10" s="36"/>
      <c r="DG10" s="36"/>
      <c r="DH10" s="36"/>
      <c r="DI10" s="36"/>
      <c r="DJ10" s="36"/>
      <c r="DK10" s="36"/>
      <c r="DL10" s="36"/>
      <c r="DM10" s="36"/>
      <c r="DN10" s="36"/>
      <c r="DO10" s="36"/>
      <c r="DP10" s="36"/>
      <c r="DQ10" s="36"/>
      <c r="DR10" s="36"/>
      <c r="DS10" s="36"/>
      <c r="DT10" s="36"/>
      <c r="DU10" s="36"/>
      <c r="DV10" s="36"/>
      <c r="DW10" s="36"/>
      <c r="DX10" s="36"/>
      <c r="DY10" s="36"/>
      <c r="DZ10" s="36"/>
      <c r="EA10" s="36"/>
      <c r="EB10" s="36"/>
      <c r="EC10" s="36"/>
      <c r="ED10" s="36"/>
      <c r="EE10" s="36"/>
      <c r="EF10" s="36"/>
      <c r="EG10" s="36"/>
      <c r="EH10" s="36"/>
      <c r="EI10" s="36"/>
      <c r="EJ10" s="36"/>
      <c r="EK10" s="36"/>
      <c r="EL10" s="36"/>
      <c r="EM10" s="36"/>
      <c r="EN10" s="36"/>
      <c r="EO10" s="36"/>
      <c r="EP10" s="36"/>
      <c r="EQ10" s="36"/>
      <c r="ER10" s="36"/>
      <c r="ES10" s="36"/>
      <c r="ET10" s="36"/>
      <c r="EU10" s="36"/>
      <c r="EV10" s="36"/>
      <c r="EW10" s="36"/>
      <c r="EX10" s="36"/>
      <c r="EY10" s="36"/>
      <c r="EZ10" s="36"/>
      <c r="FA10" s="36"/>
      <c r="FB10" s="36"/>
      <c r="FC10" s="36"/>
      <c r="FD10" s="36"/>
      <c r="FE10" s="36"/>
      <c r="FF10" s="36"/>
      <c r="FG10" s="36"/>
      <c r="FH10" s="36"/>
      <c r="FI10" s="36"/>
      <c r="FJ10" s="36"/>
      <c r="FK10" s="36"/>
      <c r="FL10" s="36"/>
      <c r="FM10" s="36"/>
      <c r="FN10" s="36"/>
      <c r="FO10" s="36"/>
      <c r="FP10" s="36"/>
      <c r="FQ10" s="36"/>
      <c r="FR10" s="36"/>
      <c r="FS10" s="36"/>
      <c r="FT10" s="36"/>
      <c r="FU10" s="36"/>
      <c r="FV10" s="36"/>
      <c r="FW10" s="36"/>
      <c r="FX10" s="36"/>
      <c r="FY10" s="36"/>
      <c r="FZ10" s="36"/>
      <c r="GA10" s="36"/>
      <c r="GB10" s="36"/>
      <c r="GC10" s="36"/>
      <c r="GD10" s="36"/>
      <c r="GE10" s="36"/>
      <c r="GF10" s="36"/>
      <c r="GG10" s="36"/>
      <c r="GH10" s="36"/>
      <c r="GI10" s="36"/>
      <c r="GJ10" s="36"/>
      <c r="GK10" s="36"/>
      <c r="GL10" s="36"/>
      <c r="GM10" s="36"/>
      <c r="GN10" s="36"/>
      <c r="GO10" s="36"/>
      <c r="GP10" s="36"/>
      <c r="GQ10" s="36"/>
      <c r="GR10" s="36"/>
      <c r="GS10" s="36"/>
      <c r="GT10" s="36"/>
      <c r="GU10" s="36"/>
      <c r="GV10" s="36"/>
      <c r="GW10" s="36"/>
      <c r="GX10" s="36"/>
      <c r="GY10" s="36"/>
      <c r="GZ10" s="36"/>
      <c r="HA10" s="36"/>
      <c r="HB10" s="36"/>
      <c r="HC10" s="36"/>
      <c r="HD10" s="36"/>
      <c r="HE10" s="36"/>
      <c r="HF10" s="36"/>
      <c r="HG10" s="36"/>
      <c r="HH10" s="36"/>
      <c r="HI10" s="36"/>
      <c r="HJ10" s="36"/>
      <c r="HK10" s="36"/>
      <c r="HL10" s="36"/>
      <c r="HM10" s="36"/>
      <c r="HN10" s="36"/>
      <c r="HO10" s="36"/>
      <c r="HP10" s="36"/>
      <c r="HQ10" s="36"/>
      <c r="HR10" s="36"/>
      <c r="HS10" s="36"/>
      <c r="HT10" s="36"/>
      <c r="HU10" s="36"/>
      <c r="HV10" s="36"/>
      <c r="HW10" s="36"/>
      <c r="HX10" s="36"/>
      <c r="HY10" s="36"/>
      <c r="HZ10" s="36"/>
      <c r="IA10" s="36"/>
      <c r="IB10" s="36"/>
      <c r="IC10" s="36"/>
      <c r="ID10" s="36"/>
      <c r="IE10" s="36"/>
      <c r="IF10" s="36"/>
      <c r="IG10" s="36"/>
      <c r="IH10" s="36"/>
      <c r="II10" s="36"/>
      <c r="IJ10" s="36"/>
      <c r="IK10" s="36"/>
      <c r="IL10" s="36"/>
      <c r="IM10" s="36"/>
      <c r="IN10" s="36"/>
      <c r="IO10" s="36"/>
      <c r="IP10" s="36"/>
      <c r="IQ10" s="36"/>
      <c r="IR10" s="36"/>
      <c r="IS10" s="36"/>
      <c r="IT10" s="36"/>
      <c r="IU10" s="36"/>
      <c r="IV10" s="36"/>
      <c r="IW10" s="36"/>
      <c r="IX10" s="36"/>
      <c r="IY10" s="36"/>
      <c r="IZ10" s="36"/>
      <c r="JA10" s="36"/>
      <c r="JB10" s="36"/>
      <c r="JC10" s="36"/>
      <c r="JD10" s="36"/>
      <c r="JE10" s="36"/>
      <c r="JF10" s="36"/>
      <c r="JG10" s="36"/>
      <c r="JH10" s="36"/>
      <c r="JI10" s="36"/>
      <c r="JJ10" s="36"/>
      <c r="JK10" s="36"/>
      <c r="JL10" s="36"/>
      <c r="JM10" s="36"/>
      <c r="JN10" s="36"/>
      <c r="JO10" s="36"/>
      <c r="JP10" s="36"/>
      <c r="JQ10" s="36"/>
      <c r="JR10" s="36"/>
      <c r="JS10" s="36"/>
      <c r="JT10" s="36"/>
      <c r="JU10" s="36"/>
      <c r="JV10" s="36"/>
      <c r="JW10" s="36"/>
      <c r="JX10" s="36"/>
      <c r="JY10" s="36"/>
      <c r="JZ10" s="36"/>
      <c r="KA10" s="36"/>
      <c r="KB10" s="36"/>
    </row>
    <row r="11" spans="1:288" s="10" customFormat="1" ht="40.200000000000003" customHeight="1" x14ac:dyDescent="0.3">
      <c r="A11" s="6"/>
      <c r="B11" s="46" t="s">
        <v>97</v>
      </c>
      <c r="C11" s="26" t="s">
        <v>62</v>
      </c>
      <c r="D11" s="26" t="s">
        <v>67</v>
      </c>
      <c r="E11" s="27">
        <f ca="1">MIN(1, MAX(0, (TODAY() - F11 + 1) / G11))</f>
        <v>1</v>
      </c>
      <c r="F11" s="28">
        <f t="shared" ref="F11:F19" si="9">Project_Start</f>
        <v>45956</v>
      </c>
      <c r="G11" s="29">
        <v>1</v>
      </c>
      <c r="H11" s="26"/>
      <c r="I11" s="37"/>
      <c r="J11" s="37"/>
      <c r="K11" s="37"/>
      <c r="L11" s="37"/>
      <c r="M11" s="37"/>
      <c r="N11" s="37"/>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K11" s="37"/>
      <c r="DL11" s="37"/>
      <c r="DM11" s="37"/>
      <c r="DN11" s="37"/>
      <c r="DO11" s="37"/>
      <c r="DP11" s="37"/>
      <c r="DQ11" s="37"/>
      <c r="DR11" s="37"/>
      <c r="DS11" s="37"/>
      <c r="DT11" s="37"/>
      <c r="DU11" s="37"/>
      <c r="DV11" s="37"/>
      <c r="DW11" s="37"/>
      <c r="DX11" s="37"/>
      <c r="DY11" s="37"/>
      <c r="DZ11" s="37"/>
      <c r="EA11" s="37"/>
      <c r="EB11" s="37"/>
      <c r="EC11" s="37"/>
      <c r="ED11" s="37"/>
      <c r="EE11" s="37"/>
      <c r="EF11" s="37"/>
      <c r="EG11" s="37"/>
      <c r="EH11" s="37"/>
      <c r="EI11" s="37"/>
      <c r="EJ11" s="37"/>
      <c r="EK11" s="37"/>
      <c r="EL11" s="37"/>
      <c r="EM11" s="37"/>
      <c r="EN11" s="37"/>
      <c r="EO11" s="37"/>
      <c r="EP11" s="37"/>
      <c r="EQ11" s="37"/>
      <c r="ER11" s="37"/>
      <c r="ES11" s="37"/>
      <c r="ET11" s="37"/>
      <c r="EU11" s="37"/>
      <c r="EV11" s="37"/>
      <c r="EW11" s="37"/>
      <c r="EX11" s="37"/>
      <c r="EY11" s="37"/>
      <c r="EZ11" s="37"/>
      <c r="FA11" s="37"/>
      <c r="FB11" s="37"/>
      <c r="FC11" s="37"/>
      <c r="FD11" s="37"/>
      <c r="FE11" s="37"/>
      <c r="FF11" s="37"/>
      <c r="FG11" s="37"/>
      <c r="FH11" s="37"/>
      <c r="FI11" s="37"/>
      <c r="FJ11" s="37"/>
      <c r="FK11" s="37"/>
      <c r="FL11" s="37"/>
      <c r="FM11" s="37"/>
      <c r="FN11" s="37"/>
      <c r="FO11" s="37"/>
      <c r="FP11" s="37"/>
      <c r="FQ11" s="37"/>
      <c r="FR11" s="37"/>
      <c r="FS11" s="37"/>
      <c r="FT11" s="37"/>
      <c r="FU11" s="37"/>
      <c r="FV11" s="37"/>
      <c r="FW11" s="37"/>
      <c r="FX11" s="37"/>
      <c r="FY11" s="37"/>
      <c r="FZ11" s="37"/>
      <c r="GA11" s="37"/>
      <c r="GB11" s="37"/>
      <c r="GC11" s="37"/>
      <c r="GD11" s="37"/>
      <c r="GE11" s="37"/>
      <c r="GF11" s="37"/>
      <c r="GG11" s="37"/>
      <c r="GH11" s="37"/>
      <c r="GI11" s="37"/>
      <c r="GJ11" s="37"/>
      <c r="GK11" s="37"/>
      <c r="GL11" s="37"/>
      <c r="GM11" s="37"/>
      <c r="GN11" s="37"/>
      <c r="GO11" s="37"/>
      <c r="GP11" s="37"/>
      <c r="GQ11" s="37"/>
      <c r="GR11" s="37"/>
      <c r="GS11" s="37"/>
      <c r="GT11" s="37"/>
      <c r="GU11" s="37"/>
      <c r="GV11" s="37"/>
      <c r="GW11" s="37"/>
      <c r="GX11" s="37"/>
      <c r="GY11" s="37"/>
      <c r="GZ11" s="37"/>
      <c r="HA11" s="37"/>
      <c r="HB11" s="37"/>
      <c r="HC11" s="37"/>
      <c r="HD11" s="37"/>
      <c r="HE11" s="37"/>
      <c r="HF11" s="37"/>
      <c r="HG11" s="37"/>
      <c r="HH11" s="37"/>
      <c r="HI11" s="37"/>
      <c r="HJ11" s="37"/>
      <c r="HK11" s="37"/>
      <c r="HL11" s="37"/>
      <c r="HM11" s="37"/>
      <c r="HN11" s="37"/>
      <c r="HO11" s="37"/>
      <c r="HP11" s="37"/>
      <c r="HQ11" s="37"/>
      <c r="HR11" s="37"/>
      <c r="HS11" s="37"/>
      <c r="HT11" s="37"/>
      <c r="HU11" s="37"/>
      <c r="HV11" s="37"/>
      <c r="HW11" s="37"/>
      <c r="HX11" s="37"/>
      <c r="HY11" s="37"/>
      <c r="HZ11" s="37"/>
      <c r="IA11" s="37"/>
      <c r="IB11" s="37"/>
      <c r="IC11" s="37"/>
      <c r="ID11" s="37"/>
      <c r="IE11" s="37"/>
      <c r="IF11" s="37"/>
      <c r="IG11" s="37"/>
      <c r="IH11" s="37"/>
      <c r="II11" s="37"/>
      <c r="IJ11" s="37"/>
      <c r="IK11" s="37"/>
      <c r="IL11" s="37"/>
      <c r="IM11" s="37"/>
      <c r="IN11" s="37"/>
      <c r="IO11" s="37"/>
      <c r="IP11" s="37"/>
      <c r="IQ11" s="37"/>
      <c r="IR11" s="37"/>
      <c r="IS11" s="37"/>
      <c r="IT11" s="37"/>
      <c r="IU11" s="37"/>
      <c r="IV11" s="37"/>
      <c r="IW11" s="37"/>
      <c r="IX11" s="37"/>
      <c r="IY11" s="37"/>
      <c r="IZ11" s="37"/>
      <c r="JA11" s="37"/>
      <c r="JB11" s="37"/>
      <c r="JC11" s="37"/>
      <c r="JD11" s="37"/>
      <c r="JE11" s="37"/>
      <c r="JF11" s="37"/>
      <c r="JG11" s="37"/>
      <c r="JH11" s="37"/>
      <c r="JI11" s="37"/>
      <c r="JJ11" s="37"/>
      <c r="JK11" s="37"/>
      <c r="JL11" s="37"/>
      <c r="JM11" s="37"/>
      <c r="JN11" s="37"/>
      <c r="JO11" s="37"/>
      <c r="JP11" s="37"/>
      <c r="JQ11" s="37"/>
      <c r="JR11" s="37"/>
      <c r="JS11" s="37"/>
      <c r="JT11" s="37"/>
      <c r="JU11" s="37"/>
      <c r="JV11" s="37"/>
      <c r="JW11" s="37"/>
      <c r="JX11" s="37"/>
      <c r="JY11" s="37"/>
      <c r="JZ11" s="37"/>
      <c r="KA11" s="37"/>
      <c r="KB11" s="37"/>
    </row>
    <row r="12" spans="1:288" s="10" customFormat="1" ht="40.200000000000003" customHeight="1" x14ac:dyDescent="0.3">
      <c r="A12" s="6"/>
      <c r="B12" s="46" t="s">
        <v>68</v>
      </c>
      <c r="C12" s="26" t="s">
        <v>61</v>
      </c>
      <c r="D12" s="26" t="s">
        <v>67</v>
      </c>
      <c r="E12" s="27">
        <f ca="1">MIN(1, MAX(0, (TODAY() - F12 + 1) / G12))</f>
        <v>1</v>
      </c>
      <c r="F12" s="28">
        <f t="shared" si="9"/>
        <v>45956</v>
      </c>
      <c r="G12" s="29">
        <v>1</v>
      </c>
      <c r="H12" s="26"/>
      <c r="I12" s="37"/>
      <c r="J12" s="37"/>
      <c r="K12" s="37"/>
      <c r="L12" s="37"/>
      <c r="M12" s="37"/>
      <c r="N12" s="37"/>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c r="CU12" s="37"/>
      <c r="CV12" s="37"/>
      <c r="CW12" s="37"/>
      <c r="CX12" s="37"/>
      <c r="CY12" s="37"/>
      <c r="CZ12" s="37"/>
      <c r="DA12" s="37"/>
      <c r="DB12" s="37"/>
      <c r="DC12" s="37"/>
      <c r="DD12" s="37"/>
      <c r="DE12" s="37"/>
      <c r="DF12" s="37"/>
      <c r="DG12" s="37"/>
      <c r="DH12" s="37"/>
      <c r="DI12" s="37"/>
      <c r="DJ12" s="37"/>
      <c r="DK12" s="37"/>
      <c r="DL12" s="37"/>
      <c r="DM12" s="37"/>
      <c r="DN12" s="37"/>
      <c r="DO12" s="37"/>
      <c r="DP12" s="37"/>
      <c r="DQ12" s="37"/>
      <c r="DR12" s="37"/>
      <c r="DS12" s="37"/>
      <c r="DT12" s="37"/>
      <c r="DU12" s="37"/>
      <c r="DV12" s="37"/>
      <c r="DW12" s="37"/>
      <c r="DX12" s="37"/>
      <c r="DY12" s="37"/>
      <c r="DZ12" s="37"/>
      <c r="EA12" s="37"/>
      <c r="EB12" s="37"/>
      <c r="EC12" s="37"/>
      <c r="ED12" s="37"/>
      <c r="EE12" s="37"/>
      <c r="EF12" s="37"/>
      <c r="EG12" s="37"/>
      <c r="EH12" s="37"/>
      <c r="EI12" s="37"/>
      <c r="EJ12" s="37"/>
      <c r="EK12" s="37"/>
      <c r="EL12" s="37"/>
      <c r="EM12" s="37"/>
      <c r="EN12" s="37"/>
      <c r="EO12" s="37"/>
      <c r="EP12" s="37"/>
      <c r="EQ12" s="37"/>
      <c r="ER12" s="37"/>
      <c r="ES12" s="37"/>
      <c r="ET12" s="37"/>
      <c r="EU12" s="37"/>
      <c r="EV12" s="37"/>
      <c r="EW12" s="37"/>
      <c r="EX12" s="37"/>
      <c r="EY12" s="37"/>
      <c r="EZ12" s="37"/>
      <c r="FA12" s="37"/>
      <c r="FB12" s="37"/>
      <c r="FC12" s="37"/>
      <c r="FD12" s="37"/>
      <c r="FE12" s="37"/>
      <c r="FF12" s="37"/>
      <c r="FG12" s="37"/>
      <c r="FH12" s="37"/>
      <c r="FI12" s="37"/>
      <c r="FJ12" s="37"/>
      <c r="FK12" s="37"/>
      <c r="FL12" s="37"/>
      <c r="FM12" s="37"/>
      <c r="FN12" s="37"/>
      <c r="FO12" s="37"/>
      <c r="FP12" s="37"/>
      <c r="FQ12" s="37"/>
      <c r="FR12" s="37"/>
      <c r="FS12" s="37"/>
      <c r="FT12" s="37"/>
      <c r="FU12" s="37"/>
      <c r="FV12" s="37"/>
      <c r="FW12" s="37"/>
      <c r="FX12" s="37"/>
      <c r="FY12" s="37"/>
      <c r="FZ12" s="37"/>
      <c r="GA12" s="37"/>
      <c r="GB12" s="37"/>
      <c r="GC12" s="37"/>
      <c r="GD12" s="37"/>
      <c r="GE12" s="37"/>
      <c r="GF12" s="37"/>
      <c r="GG12" s="37"/>
      <c r="GH12" s="37"/>
      <c r="GI12" s="37"/>
      <c r="GJ12" s="37"/>
      <c r="GK12" s="37"/>
      <c r="GL12" s="37"/>
      <c r="GM12" s="37"/>
      <c r="GN12" s="37"/>
      <c r="GO12" s="37"/>
      <c r="GP12" s="37"/>
      <c r="GQ12" s="37"/>
      <c r="GR12" s="37"/>
      <c r="GS12" s="37"/>
      <c r="GT12" s="37"/>
      <c r="GU12" s="37"/>
      <c r="GV12" s="37"/>
      <c r="GW12" s="37"/>
      <c r="GX12" s="37"/>
      <c r="GY12" s="37"/>
      <c r="GZ12" s="37"/>
      <c r="HA12" s="37"/>
      <c r="HB12" s="37"/>
      <c r="HC12" s="37"/>
      <c r="HD12" s="37"/>
      <c r="HE12" s="37"/>
      <c r="HF12" s="37"/>
      <c r="HG12" s="37"/>
      <c r="HH12" s="37"/>
      <c r="HI12" s="37"/>
      <c r="HJ12" s="37"/>
      <c r="HK12" s="37"/>
      <c r="HL12" s="37"/>
      <c r="HM12" s="37"/>
      <c r="HN12" s="37"/>
      <c r="HO12" s="37"/>
      <c r="HP12" s="37"/>
      <c r="HQ12" s="37"/>
      <c r="HR12" s="37"/>
      <c r="HS12" s="37"/>
      <c r="HT12" s="37"/>
      <c r="HU12" s="37"/>
      <c r="HV12" s="37"/>
      <c r="HW12" s="37"/>
      <c r="HX12" s="37"/>
      <c r="HY12" s="37"/>
      <c r="HZ12" s="37"/>
      <c r="IA12" s="37"/>
      <c r="IB12" s="37"/>
      <c r="IC12" s="37"/>
      <c r="ID12" s="37"/>
      <c r="IE12" s="37"/>
      <c r="IF12" s="37"/>
      <c r="IG12" s="37"/>
      <c r="IH12" s="37"/>
      <c r="II12" s="37"/>
      <c r="IJ12" s="37"/>
      <c r="IK12" s="37"/>
      <c r="IL12" s="37"/>
      <c r="IM12" s="37"/>
      <c r="IN12" s="37"/>
      <c r="IO12" s="37"/>
      <c r="IP12" s="37"/>
      <c r="IQ12" s="37"/>
      <c r="IR12" s="37"/>
      <c r="IS12" s="37"/>
      <c r="IT12" s="37"/>
      <c r="IU12" s="37"/>
      <c r="IV12" s="37"/>
      <c r="IW12" s="37"/>
      <c r="IX12" s="37"/>
      <c r="IY12" s="37"/>
      <c r="IZ12" s="37"/>
      <c r="JA12" s="37"/>
      <c r="JB12" s="37"/>
      <c r="JC12" s="37"/>
      <c r="JD12" s="37"/>
      <c r="JE12" s="37"/>
      <c r="JF12" s="37"/>
      <c r="JG12" s="37"/>
      <c r="JH12" s="37"/>
      <c r="JI12" s="37"/>
      <c r="JJ12" s="37"/>
      <c r="JK12" s="37"/>
      <c r="JL12" s="37"/>
      <c r="JM12" s="37"/>
      <c r="JN12" s="37"/>
      <c r="JO12" s="37"/>
      <c r="JP12" s="37"/>
      <c r="JQ12" s="37"/>
      <c r="JR12" s="37"/>
      <c r="JS12" s="37"/>
      <c r="JT12" s="37"/>
      <c r="JU12" s="37"/>
      <c r="JV12" s="37"/>
      <c r="JW12" s="37"/>
      <c r="JX12" s="37"/>
      <c r="JY12" s="37"/>
      <c r="JZ12" s="37"/>
      <c r="KA12" s="37"/>
      <c r="KB12" s="37"/>
    </row>
    <row r="13" spans="1:288" s="10" customFormat="1" ht="40.200000000000003" customHeight="1" x14ac:dyDescent="0.3">
      <c r="A13" s="3"/>
      <c r="B13" s="46" t="s">
        <v>76</v>
      </c>
      <c r="C13" s="26" t="s">
        <v>61</v>
      </c>
      <c r="D13" s="26" t="s">
        <v>24</v>
      </c>
      <c r="E13" s="27">
        <f ca="1">MIN(1, MAX(0, (TODAY() - F13 + 1) / G13))</f>
        <v>1</v>
      </c>
      <c r="F13" s="28">
        <f t="shared" si="9"/>
        <v>45956</v>
      </c>
      <c r="G13" s="29">
        <v>1</v>
      </c>
      <c r="H13" s="26"/>
      <c r="I13" s="37"/>
      <c r="J13" s="37"/>
      <c r="K13" s="37"/>
      <c r="L13" s="37"/>
      <c r="M13" s="37"/>
      <c r="N13" s="37"/>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K13" s="37"/>
      <c r="DL13" s="37"/>
      <c r="DM13" s="37"/>
      <c r="DN13" s="37"/>
      <c r="DO13" s="37"/>
      <c r="DP13" s="37"/>
      <c r="DQ13" s="37"/>
      <c r="DR13" s="37"/>
      <c r="DS13" s="37"/>
      <c r="DT13" s="37"/>
      <c r="DU13" s="37"/>
      <c r="DV13" s="37"/>
      <c r="DW13" s="37"/>
      <c r="DX13" s="37"/>
      <c r="DY13" s="37"/>
      <c r="DZ13" s="37"/>
      <c r="EA13" s="37"/>
      <c r="EB13" s="37"/>
      <c r="EC13" s="37"/>
      <c r="ED13" s="37"/>
      <c r="EE13" s="37"/>
      <c r="EF13" s="37"/>
      <c r="EG13" s="37"/>
      <c r="EH13" s="37"/>
      <c r="EI13" s="37"/>
      <c r="EJ13" s="37"/>
      <c r="EK13" s="37"/>
      <c r="EL13" s="37"/>
      <c r="EM13" s="37"/>
      <c r="EN13" s="37"/>
      <c r="EO13" s="37"/>
      <c r="EP13" s="37"/>
      <c r="EQ13" s="37"/>
      <c r="ER13" s="37"/>
      <c r="ES13" s="37"/>
      <c r="ET13" s="37"/>
      <c r="EU13" s="37"/>
      <c r="EV13" s="37"/>
      <c r="EW13" s="37"/>
      <c r="EX13" s="37"/>
      <c r="EY13" s="37"/>
      <c r="EZ13" s="37"/>
      <c r="FA13" s="37"/>
      <c r="FB13" s="37"/>
      <c r="FC13" s="37"/>
      <c r="FD13" s="37"/>
      <c r="FE13" s="37"/>
      <c r="FF13" s="37"/>
      <c r="FG13" s="37"/>
      <c r="FH13" s="37"/>
      <c r="FI13" s="37"/>
      <c r="FJ13" s="37"/>
      <c r="FK13" s="37"/>
      <c r="FL13" s="37"/>
      <c r="FM13" s="37"/>
      <c r="FN13" s="37"/>
      <c r="FO13" s="37"/>
      <c r="FP13" s="37"/>
      <c r="FQ13" s="37"/>
      <c r="FR13" s="37"/>
      <c r="FS13" s="37"/>
      <c r="FT13" s="37"/>
      <c r="FU13" s="37"/>
      <c r="FV13" s="37"/>
      <c r="FW13" s="37"/>
      <c r="FX13" s="37"/>
      <c r="FY13" s="37"/>
      <c r="FZ13" s="37"/>
      <c r="GA13" s="37"/>
      <c r="GB13" s="37"/>
      <c r="GC13" s="37"/>
      <c r="GD13" s="37"/>
      <c r="GE13" s="37"/>
      <c r="GF13" s="37"/>
      <c r="GG13" s="37"/>
      <c r="GH13" s="37"/>
      <c r="GI13" s="37"/>
      <c r="GJ13" s="37"/>
      <c r="GK13" s="37"/>
      <c r="GL13" s="37"/>
      <c r="GM13" s="37"/>
      <c r="GN13" s="37"/>
      <c r="GO13" s="37"/>
      <c r="GP13" s="37"/>
      <c r="GQ13" s="37"/>
      <c r="GR13" s="37"/>
      <c r="GS13" s="37"/>
      <c r="GT13" s="37"/>
      <c r="GU13" s="37"/>
      <c r="GV13" s="37"/>
      <c r="GW13" s="37"/>
      <c r="GX13" s="37"/>
      <c r="GY13" s="37"/>
      <c r="GZ13" s="37"/>
      <c r="HA13" s="37"/>
      <c r="HB13" s="37"/>
      <c r="HC13" s="37"/>
      <c r="HD13" s="37"/>
      <c r="HE13" s="37"/>
      <c r="HF13" s="37"/>
      <c r="HG13" s="37"/>
      <c r="HH13" s="37"/>
      <c r="HI13" s="37"/>
      <c r="HJ13" s="37"/>
      <c r="HK13" s="37"/>
      <c r="HL13" s="37"/>
      <c r="HM13" s="37"/>
      <c r="HN13" s="37"/>
      <c r="HO13" s="37"/>
      <c r="HP13" s="37"/>
      <c r="HQ13" s="37"/>
      <c r="HR13" s="37"/>
      <c r="HS13" s="37"/>
      <c r="HT13" s="37"/>
      <c r="HU13" s="37"/>
      <c r="HV13" s="37"/>
      <c r="HW13" s="37"/>
      <c r="HX13" s="37"/>
      <c r="HY13" s="37"/>
      <c r="HZ13" s="37"/>
      <c r="IA13" s="37"/>
      <c r="IB13" s="37"/>
      <c r="IC13" s="37"/>
      <c r="ID13" s="37"/>
      <c r="IE13" s="37"/>
      <c r="IF13" s="37"/>
      <c r="IG13" s="37"/>
      <c r="IH13" s="37"/>
      <c r="II13" s="37"/>
      <c r="IJ13" s="37"/>
      <c r="IK13" s="37"/>
      <c r="IL13" s="37"/>
      <c r="IM13" s="37"/>
      <c r="IN13" s="37"/>
      <c r="IO13" s="37"/>
      <c r="IP13" s="37"/>
      <c r="IQ13" s="37"/>
      <c r="IR13" s="37"/>
      <c r="IS13" s="37"/>
      <c r="IT13" s="37"/>
      <c r="IU13" s="37"/>
      <c r="IV13" s="37"/>
      <c r="IW13" s="37"/>
      <c r="IX13" s="37"/>
      <c r="IY13" s="37"/>
      <c r="IZ13" s="37"/>
      <c r="JA13" s="37"/>
      <c r="JB13" s="37"/>
      <c r="JC13" s="37"/>
      <c r="JD13" s="37"/>
      <c r="JE13" s="37"/>
      <c r="JF13" s="37"/>
      <c r="JG13" s="37"/>
      <c r="JH13" s="37"/>
      <c r="JI13" s="37"/>
      <c r="JJ13" s="37"/>
      <c r="JK13" s="37"/>
      <c r="JL13" s="37"/>
      <c r="JM13" s="37"/>
      <c r="JN13" s="37"/>
      <c r="JO13" s="37"/>
      <c r="JP13" s="37"/>
      <c r="JQ13" s="37"/>
      <c r="JR13" s="37"/>
      <c r="JS13" s="37"/>
      <c r="JT13" s="37"/>
      <c r="JU13" s="37"/>
      <c r="JV13" s="37"/>
      <c r="JW13" s="37"/>
      <c r="JX13" s="37"/>
      <c r="JY13" s="37"/>
      <c r="JZ13" s="37"/>
      <c r="KA13" s="37"/>
      <c r="KB13" s="37"/>
    </row>
    <row r="14" spans="1:288" s="10" customFormat="1" ht="40.200000000000003" customHeight="1" x14ac:dyDescent="0.3">
      <c r="A14" s="3"/>
      <c r="B14" s="46" t="s">
        <v>77</v>
      </c>
      <c r="C14" s="26" t="s">
        <v>66</v>
      </c>
      <c r="D14" s="26" t="s">
        <v>67</v>
      </c>
      <c r="E14" s="27">
        <f ca="1">MIN(1, MAX(0, (TODAY() - F14 + 1) / G14))</f>
        <v>1</v>
      </c>
      <c r="F14" s="28">
        <f t="shared" si="9"/>
        <v>45956</v>
      </c>
      <c r="G14" s="29">
        <v>1</v>
      </c>
      <c r="H14" s="26"/>
      <c r="I14" s="37"/>
      <c r="J14" s="37"/>
      <c r="K14" s="37"/>
      <c r="L14" s="37"/>
      <c r="M14" s="37"/>
      <c r="N14" s="37"/>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K14" s="37"/>
      <c r="DL14" s="37"/>
      <c r="DM14" s="37"/>
      <c r="DN14" s="37"/>
      <c r="DO14" s="37"/>
      <c r="DP14" s="37"/>
      <c r="DQ14" s="37"/>
      <c r="DR14" s="37"/>
      <c r="DS14" s="37"/>
      <c r="DT14" s="37"/>
      <c r="DU14" s="37"/>
      <c r="DV14" s="37"/>
      <c r="DW14" s="37"/>
      <c r="DX14" s="37"/>
      <c r="DY14" s="37"/>
      <c r="DZ14" s="37"/>
      <c r="EA14" s="37"/>
      <c r="EB14" s="37"/>
      <c r="EC14" s="37"/>
      <c r="ED14" s="37"/>
      <c r="EE14" s="37"/>
      <c r="EF14" s="37"/>
      <c r="EG14" s="37"/>
      <c r="EH14" s="37"/>
      <c r="EI14" s="37"/>
      <c r="EJ14" s="37"/>
      <c r="EK14" s="37"/>
      <c r="EL14" s="37"/>
      <c r="EM14" s="37"/>
      <c r="EN14" s="37"/>
      <c r="EO14" s="37"/>
      <c r="EP14" s="37"/>
      <c r="EQ14" s="37"/>
      <c r="ER14" s="37"/>
      <c r="ES14" s="37"/>
      <c r="ET14" s="37"/>
      <c r="EU14" s="37"/>
      <c r="EV14" s="37"/>
      <c r="EW14" s="37"/>
      <c r="EX14" s="37"/>
      <c r="EY14" s="37"/>
      <c r="EZ14" s="37"/>
      <c r="FA14" s="37"/>
      <c r="FB14" s="37"/>
      <c r="FC14" s="37"/>
      <c r="FD14" s="37"/>
      <c r="FE14" s="37"/>
      <c r="FF14" s="37"/>
      <c r="FG14" s="37"/>
      <c r="FH14" s="37"/>
      <c r="FI14" s="37"/>
      <c r="FJ14" s="37"/>
      <c r="FK14" s="37"/>
      <c r="FL14" s="37"/>
      <c r="FM14" s="37"/>
      <c r="FN14" s="37"/>
      <c r="FO14" s="37"/>
      <c r="FP14" s="37"/>
      <c r="FQ14" s="37"/>
      <c r="FR14" s="37"/>
      <c r="FS14" s="37"/>
      <c r="FT14" s="37"/>
      <c r="FU14" s="37"/>
      <c r="FV14" s="37"/>
      <c r="FW14" s="37"/>
      <c r="FX14" s="37"/>
      <c r="FY14" s="37"/>
      <c r="FZ14" s="37"/>
      <c r="GA14" s="37"/>
      <c r="GB14" s="37"/>
      <c r="GC14" s="37"/>
      <c r="GD14" s="37"/>
      <c r="GE14" s="37"/>
      <c r="GF14" s="37"/>
      <c r="GG14" s="37"/>
      <c r="GH14" s="37"/>
      <c r="GI14" s="37"/>
      <c r="GJ14" s="37"/>
      <c r="GK14" s="37"/>
      <c r="GL14" s="37"/>
      <c r="GM14" s="37"/>
      <c r="GN14" s="37"/>
      <c r="GO14" s="37"/>
      <c r="GP14" s="37"/>
      <c r="GQ14" s="37"/>
      <c r="GR14" s="37"/>
      <c r="GS14" s="37"/>
      <c r="GT14" s="37"/>
      <c r="GU14" s="37"/>
      <c r="GV14" s="37"/>
      <c r="GW14" s="37"/>
      <c r="GX14" s="37"/>
      <c r="GY14" s="37"/>
      <c r="GZ14" s="37"/>
      <c r="HA14" s="37"/>
      <c r="HB14" s="37"/>
      <c r="HC14" s="37"/>
      <c r="HD14" s="37"/>
      <c r="HE14" s="37"/>
      <c r="HF14" s="37"/>
      <c r="HG14" s="37"/>
      <c r="HH14" s="37"/>
      <c r="HI14" s="37"/>
      <c r="HJ14" s="37"/>
      <c r="HK14" s="37"/>
      <c r="HL14" s="37"/>
      <c r="HM14" s="37"/>
      <c r="HN14" s="37"/>
      <c r="HO14" s="37"/>
      <c r="HP14" s="37"/>
      <c r="HQ14" s="37"/>
      <c r="HR14" s="37"/>
      <c r="HS14" s="37"/>
      <c r="HT14" s="37"/>
      <c r="HU14" s="37"/>
      <c r="HV14" s="37"/>
      <c r="HW14" s="37"/>
      <c r="HX14" s="37"/>
      <c r="HY14" s="37"/>
      <c r="HZ14" s="37"/>
      <c r="IA14" s="37"/>
      <c r="IB14" s="37"/>
      <c r="IC14" s="37"/>
      <c r="ID14" s="37"/>
      <c r="IE14" s="37"/>
      <c r="IF14" s="37"/>
      <c r="IG14" s="37"/>
      <c r="IH14" s="37"/>
      <c r="II14" s="37"/>
      <c r="IJ14" s="37"/>
      <c r="IK14" s="37"/>
      <c r="IL14" s="37"/>
      <c r="IM14" s="37"/>
      <c r="IN14" s="37"/>
      <c r="IO14" s="37"/>
      <c r="IP14" s="37"/>
      <c r="IQ14" s="37"/>
      <c r="IR14" s="37"/>
      <c r="IS14" s="37"/>
      <c r="IT14" s="37"/>
      <c r="IU14" s="37"/>
      <c r="IV14" s="37"/>
      <c r="IW14" s="37"/>
      <c r="IX14" s="37"/>
      <c r="IY14" s="37"/>
      <c r="IZ14" s="37"/>
      <c r="JA14" s="37"/>
      <c r="JB14" s="37"/>
      <c r="JC14" s="37"/>
      <c r="JD14" s="37"/>
      <c r="JE14" s="37"/>
      <c r="JF14" s="37"/>
      <c r="JG14" s="37"/>
      <c r="JH14" s="37"/>
      <c r="JI14" s="37"/>
      <c r="JJ14" s="37"/>
      <c r="JK14" s="37"/>
      <c r="JL14" s="37"/>
      <c r="JM14" s="37"/>
      <c r="JN14" s="37"/>
      <c r="JO14" s="37"/>
      <c r="JP14" s="37"/>
      <c r="JQ14" s="37"/>
      <c r="JR14" s="37"/>
      <c r="JS14" s="37"/>
      <c r="JT14" s="37"/>
      <c r="JU14" s="37"/>
      <c r="JV14" s="37"/>
      <c r="JW14" s="37"/>
      <c r="JX14" s="37"/>
      <c r="JY14" s="37"/>
      <c r="JZ14" s="37"/>
      <c r="KA14" s="37"/>
      <c r="KB14" s="37"/>
    </row>
    <row r="15" spans="1:288" s="10" customFormat="1" ht="40.200000000000003" customHeight="1" x14ac:dyDescent="0.3">
      <c r="A15" s="3"/>
      <c r="B15" s="46" t="s">
        <v>69</v>
      </c>
      <c r="C15" s="26" t="s">
        <v>62</v>
      </c>
      <c r="D15" s="26" t="s">
        <v>67</v>
      </c>
      <c r="E15" s="27">
        <f t="shared" ref="E15:E19" ca="1" si="10">MIN(1, MAX(0, (TODAY() - F15 + 1) / G15))</f>
        <v>1</v>
      </c>
      <c r="F15" s="28">
        <f t="shared" si="9"/>
        <v>45956</v>
      </c>
      <c r="G15" s="29">
        <v>1</v>
      </c>
      <c r="H15" s="26"/>
      <c r="I15" s="37"/>
      <c r="J15" s="37"/>
      <c r="K15" s="37"/>
      <c r="L15" s="37"/>
      <c r="M15" s="37"/>
      <c r="N15" s="37"/>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K15" s="37"/>
      <c r="DL15" s="37"/>
      <c r="DM15" s="37"/>
      <c r="DN15" s="37"/>
      <c r="DO15" s="37"/>
      <c r="DP15" s="37"/>
      <c r="DQ15" s="37"/>
      <c r="DR15" s="37"/>
      <c r="DS15" s="37"/>
      <c r="DT15" s="37"/>
      <c r="DU15" s="37"/>
      <c r="DV15" s="37"/>
      <c r="DW15" s="37"/>
      <c r="DX15" s="37"/>
      <c r="DY15" s="37"/>
      <c r="DZ15" s="37"/>
      <c r="EA15" s="37"/>
      <c r="EB15" s="37"/>
      <c r="EC15" s="37"/>
      <c r="ED15" s="37"/>
      <c r="EE15" s="37"/>
      <c r="EF15" s="37"/>
      <c r="EG15" s="37"/>
      <c r="EH15" s="37"/>
      <c r="EI15" s="37"/>
      <c r="EJ15" s="37"/>
      <c r="EK15" s="37"/>
      <c r="EL15" s="37"/>
      <c r="EM15" s="37"/>
      <c r="EN15" s="37"/>
      <c r="EO15" s="37"/>
      <c r="EP15" s="37"/>
      <c r="EQ15" s="37"/>
      <c r="ER15" s="37"/>
      <c r="ES15" s="37"/>
      <c r="ET15" s="37"/>
      <c r="EU15" s="37"/>
      <c r="EV15" s="37"/>
      <c r="EW15" s="37"/>
      <c r="EX15" s="37"/>
      <c r="EY15" s="37"/>
      <c r="EZ15" s="37"/>
      <c r="FA15" s="37"/>
      <c r="FB15" s="37"/>
      <c r="FC15" s="37"/>
      <c r="FD15" s="37"/>
      <c r="FE15" s="37"/>
      <c r="FF15" s="37"/>
      <c r="FG15" s="37"/>
      <c r="FH15" s="37"/>
      <c r="FI15" s="37"/>
      <c r="FJ15" s="37"/>
      <c r="FK15" s="37"/>
      <c r="FL15" s="37"/>
      <c r="FM15" s="37"/>
      <c r="FN15" s="37"/>
      <c r="FO15" s="37"/>
      <c r="FP15" s="37"/>
      <c r="FQ15" s="37"/>
      <c r="FR15" s="37"/>
      <c r="FS15" s="37"/>
      <c r="FT15" s="37"/>
      <c r="FU15" s="37"/>
      <c r="FV15" s="37"/>
      <c r="FW15" s="37"/>
      <c r="FX15" s="37"/>
      <c r="FY15" s="37"/>
      <c r="FZ15" s="37"/>
      <c r="GA15" s="37"/>
      <c r="GB15" s="37"/>
      <c r="GC15" s="37"/>
      <c r="GD15" s="37"/>
      <c r="GE15" s="37"/>
      <c r="GF15" s="37"/>
      <c r="GG15" s="37"/>
      <c r="GH15" s="37"/>
      <c r="GI15" s="37"/>
      <c r="GJ15" s="37"/>
      <c r="GK15" s="37"/>
      <c r="GL15" s="37"/>
      <c r="GM15" s="37"/>
      <c r="GN15" s="37"/>
      <c r="GO15" s="37"/>
      <c r="GP15" s="37"/>
      <c r="GQ15" s="37"/>
      <c r="GR15" s="37"/>
      <c r="GS15" s="37"/>
      <c r="GT15" s="37"/>
      <c r="GU15" s="37"/>
      <c r="GV15" s="37"/>
      <c r="GW15" s="37"/>
      <c r="GX15" s="37"/>
      <c r="GY15" s="37"/>
      <c r="GZ15" s="37"/>
      <c r="HA15" s="37"/>
      <c r="HB15" s="37"/>
      <c r="HC15" s="37"/>
      <c r="HD15" s="37"/>
      <c r="HE15" s="37"/>
      <c r="HF15" s="37"/>
      <c r="HG15" s="37"/>
      <c r="HH15" s="37"/>
      <c r="HI15" s="37"/>
      <c r="HJ15" s="37"/>
      <c r="HK15" s="37"/>
      <c r="HL15" s="37"/>
      <c r="HM15" s="37"/>
      <c r="HN15" s="37"/>
      <c r="HO15" s="37"/>
      <c r="HP15" s="37"/>
      <c r="HQ15" s="37"/>
      <c r="HR15" s="37"/>
      <c r="HS15" s="37"/>
      <c r="HT15" s="37"/>
      <c r="HU15" s="37"/>
      <c r="HV15" s="37"/>
      <c r="HW15" s="37"/>
      <c r="HX15" s="37"/>
      <c r="HY15" s="37"/>
      <c r="HZ15" s="37"/>
      <c r="IA15" s="37"/>
      <c r="IB15" s="37"/>
      <c r="IC15" s="37"/>
      <c r="ID15" s="37"/>
      <c r="IE15" s="37"/>
      <c r="IF15" s="37"/>
      <c r="IG15" s="37"/>
      <c r="IH15" s="37"/>
      <c r="II15" s="37"/>
      <c r="IJ15" s="37"/>
      <c r="IK15" s="37"/>
      <c r="IL15" s="37"/>
      <c r="IM15" s="37"/>
      <c r="IN15" s="37"/>
      <c r="IO15" s="37"/>
      <c r="IP15" s="37"/>
      <c r="IQ15" s="37"/>
      <c r="IR15" s="37"/>
      <c r="IS15" s="37"/>
      <c r="IT15" s="37"/>
      <c r="IU15" s="37"/>
      <c r="IV15" s="37"/>
      <c r="IW15" s="37"/>
      <c r="IX15" s="37"/>
      <c r="IY15" s="37"/>
      <c r="IZ15" s="37"/>
      <c r="JA15" s="37"/>
      <c r="JB15" s="37"/>
      <c r="JC15" s="37"/>
      <c r="JD15" s="37"/>
      <c r="JE15" s="37"/>
      <c r="JF15" s="37"/>
      <c r="JG15" s="37"/>
      <c r="JH15" s="37"/>
      <c r="JI15" s="37"/>
      <c r="JJ15" s="37"/>
      <c r="JK15" s="37"/>
      <c r="JL15" s="37"/>
      <c r="JM15" s="37"/>
      <c r="JN15" s="37"/>
      <c r="JO15" s="37"/>
      <c r="JP15" s="37"/>
      <c r="JQ15" s="37"/>
      <c r="JR15" s="37"/>
      <c r="JS15" s="37"/>
      <c r="JT15" s="37"/>
      <c r="JU15" s="37"/>
      <c r="JV15" s="37"/>
      <c r="JW15" s="37"/>
      <c r="JX15" s="37"/>
      <c r="JY15" s="37"/>
      <c r="JZ15" s="37"/>
      <c r="KA15" s="37"/>
      <c r="KB15" s="37"/>
    </row>
    <row r="16" spans="1:288" s="10" customFormat="1" ht="40.200000000000003" customHeight="1" x14ac:dyDescent="0.3">
      <c r="A16" s="6"/>
      <c r="B16" s="46" t="s">
        <v>70</v>
      </c>
      <c r="C16" s="26" t="s">
        <v>62</v>
      </c>
      <c r="D16" s="26" t="s">
        <v>67</v>
      </c>
      <c r="E16" s="27">
        <f t="shared" ca="1" si="10"/>
        <v>0.6333333333333333</v>
      </c>
      <c r="F16" s="28">
        <f t="shared" si="9"/>
        <v>45956</v>
      </c>
      <c r="G16" s="29">
        <v>30</v>
      </c>
      <c r="H16" s="26"/>
      <c r="I16" s="37"/>
      <c r="J16" s="37"/>
      <c r="K16" s="37"/>
      <c r="L16" s="37"/>
      <c r="M16" s="37"/>
      <c r="N16" s="37"/>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K16" s="37"/>
      <c r="DL16" s="37"/>
      <c r="DM16" s="37"/>
      <c r="DN16" s="37"/>
      <c r="DO16" s="37"/>
      <c r="DP16" s="37"/>
      <c r="DQ16" s="37"/>
      <c r="DR16" s="37"/>
      <c r="DS16" s="37"/>
      <c r="DT16" s="37"/>
      <c r="DU16" s="37"/>
      <c r="DV16" s="37"/>
      <c r="DW16" s="37"/>
      <c r="DX16" s="37"/>
      <c r="DY16" s="37"/>
      <c r="DZ16" s="37"/>
      <c r="EA16" s="37"/>
      <c r="EB16" s="37"/>
      <c r="EC16" s="37"/>
      <c r="ED16" s="37"/>
      <c r="EE16" s="37"/>
      <c r="EF16" s="37"/>
      <c r="EG16" s="37"/>
      <c r="EH16" s="37"/>
      <c r="EI16" s="37"/>
      <c r="EJ16" s="37"/>
      <c r="EK16" s="37"/>
      <c r="EL16" s="37"/>
      <c r="EM16" s="37"/>
      <c r="EN16" s="37"/>
      <c r="EO16" s="37"/>
      <c r="EP16" s="37"/>
      <c r="EQ16" s="37"/>
      <c r="ER16" s="37"/>
      <c r="ES16" s="37"/>
      <c r="ET16" s="37"/>
      <c r="EU16" s="37"/>
      <c r="EV16" s="37"/>
      <c r="EW16" s="37"/>
      <c r="EX16" s="37"/>
      <c r="EY16" s="37"/>
      <c r="EZ16" s="37"/>
      <c r="FA16" s="37"/>
      <c r="FB16" s="37"/>
      <c r="FC16" s="37"/>
      <c r="FD16" s="37"/>
      <c r="FE16" s="37"/>
      <c r="FF16" s="37"/>
      <c r="FG16" s="37"/>
      <c r="FH16" s="37"/>
      <c r="FI16" s="37"/>
      <c r="FJ16" s="37"/>
      <c r="FK16" s="37"/>
      <c r="FL16" s="37"/>
      <c r="FM16" s="37"/>
      <c r="FN16" s="37"/>
      <c r="FO16" s="37"/>
      <c r="FP16" s="37"/>
      <c r="FQ16" s="37"/>
      <c r="FR16" s="37"/>
      <c r="FS16" s="37"/>
      <c r="FT16" s="37"/>
      <c r="FU16" s="37"/>
      <c r="FV16" s="37"/>
      <c r="FW16" s="37"/>
      <c r="FX16" s="37"/>
      <c r="FY16" s="37"/>
      <c r="FZ16" s="37"/>
      <c r="GA16" s="37"/>
      <c r="GB16" s="37"/>
      <c r="GC16" s="37"/>
      <c r="GD16" s="37"/>
      <c r="GE16" s="37"/>
      <c r="GF16" s="37"/>
      <c r="GG16" s="37"/>
      <c r="GH16" s="37"/>
      <c r="GI16" s="37"/>
      <c r="GJ16" s="37"/>
      <c r="GK16" s="37"/>
      <c r="GL16" s="37"/>
      <c r="GM16" s="37"/>
      <c r="GN16" s="37"/>
      <c r="GO16" s="37"/>
      <c r="GP16" s="37"/>
      <c r="GQ16" s="37"/>
      <c r="GR16" s="37"/>
      <c r="GS16" s="37"/>
      <c r="GT16" s="37"/>
      <c r="GU16" s="37"/>
      <c r="GV16" s="37"/>
      <c r="GW16" s="37"/>
      <c r="GX16" s="37"/>
      <c r="GY16" s="37"/>
      <c r="GZ16" s="37"/>
      <c r="HA16" s="37"/>
      <c r="HB16" s="37"/>
      <c r="HC16" s="37"/>
      <c r="HD16" s="37"/>
      <c r="HE16" s="37"/>
      <c r="HF16" s="37"/>
      <c r="HG16" s="37"/>
      <c r="HH16" s="37"/>
      <c r="HI16" s="37"/>
      <c r="HJ16" s="37"/>
      <c r="HK16" s="37"/>
      <c r="HL16" s="37"/>
      <c r="HM16" s="37"/>
      <c r="HN16" s="37"/>
      <c r="HO16" s="37"/>
      <c r="HP16" s="37"/>
      <c r="HQ16" s="37"/>
      <c r="HR16" s="37"/>
      <c r="HS16" s="37"/>
      <c r="HT16" s="37"/>
      <c r="HU16" s="37"/>
      <c r="HV16" s="37"/>
      <c r="HW16" s="37"/>
      <c r="HX16" s="37"/>
      <c r="HY16" s="37"/>
      <c r="HZ16" s="37"/>
      <c r="IA16" s="37"/>
      <c r="IB16" s="37"/>
      <c r="IC16" s="37"/>
      <c r="ID16" s="37"/>
      <c r="IE16" s="37"/>
      <c r="IF16" s="37"/>
      <c r="IG16" s="37"/>
      <c r="IH16" s="37"/>
      <c r="II16" s="37"/>
      <c r="IJ16" s="37"/>
      <c r="IK16" s="37"/>
      <c r="IL16" s="37"/>
      <c r="IM16" s="37"/>
      <c r="IN16" s="37"/>
      <c r="IO16" s="37"/>
      <c r="IP16" s="37"/>
      <c r="IQ16" s="37"/>
      <c r="IR16" s="37"/>
      <c r="IS16" s="37"/>
      <c r="IT16" s="37"/>
      <c r="IU16" s="37"/>
      <c r="IV16" s="37"/>
      <c r="IW16" s="37"/>
      <c r="IX16" s="37"/>
      <c r="IY16" s="37"/>
      <c r="IZ16" s="37"/>
      <c r="JA16" s="37"/>
      <c r="JB16" s="37"/>
      <c r="JC16" s="37"/>
      <c r="JD16" s="37"/>
      <c r="JE16" s="37"/>
      <c r="JF16" s="37"/>
      <c r="JG16" s="37"/>
      <c r="JH16" s="37"/>
      <c r="JI16" s="37"/>
      <c r="JJ16" s="37"/>
      <c r="JK16" s="37"/>
      <c r="JL16" s="37"/>
      <c r="JM16" s="37"/>
      <c r="JN16" s="37"/>
      <c r="JO16" s="37"/>
      <c r="JP16" s="37"/>
      <c r="JQ16" s="37"/>
      <c r="JR16" s="37"/>
      <c r="JS16" s="37"/>
      <c r="JT16" s="37"/>
      <c r="JU16" s="37"/>
      <c r="JV16" s="37"/>
      <c r="JW16" s="37"/>
      <c r="JX16" s="37"/>
      <c r="JY16" s="37"/>
      <c r="JZ16" s="37"/>
      <c r="KA16" s="37"/>
      <c r="KB16" s="37"/>
    </row>
    <row r="17" spans="1:288" s="10" customFormat="1" ht="40.200000000000003" customHeight="1" x14ac:dyDescent="0.3">
      <c r="A17" s="6"/>
      <c r="B17" s="46" t="s">
        <v>73</v>
      </c>
      <c r="C17" s="26" t="s">
        <v>62</v>
      </c>
      <c r="D17" s="26" t="s">
        <v>67</v>
      </c>
      <c r="E17" s="27">
        <f t="shared" ca="1" si="10"/>
        <v>1</v>
      </c>
      <c r="F17" s="28">
        <f t="shared" si="9"/>
        <v>45956</v>
      </c>
      <c r="G17" s="29">
        <v>2</v>
      </c>
      <c r="H17" s="26"/>
      <c r="I17" s="37"/>
      <c r="J17" s="37"/>
      <c r="K17" s="37"/>
      <c r="L17" s="37"/>
      <c r="M17" s="37"/>
      <c r="N17" s="37"/>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K17" s="37"/>
      <c r="DL17" s="37"/>
      <c r="DM17" s="37"/>
      <c r="DN17" s="37"/>
      <c r="DO17" s="37"/>
      <c r="DP17" s="37"/>
      <c r="DQ17" s="37"/>
      <c r="DR17" s="37"/>
      <c r="DS17" s="37"/>
      <c r="DT17" s="37"/>
      <c r="DU17" s="37"/>
      <c r="DV17" s="37"/>
      <c r="DW17" s="37"/>
      <c r="DX17" s="37"/>
      <c r="DY17" s="37"/>
      <c r="DZ17" s="37"/>
      <c r="EA17" s="37"/>
      <c r="EB17" s="37"/>
      <c r="EC17" s="37"/>
      <c r="ED17" s="37"/>
      <c r="EE17" s="37"/>
      <c r="EF17" s="37"/>
      <c r="EG17" s="37"/>
      <c r="EH17" s="37"/>
      <c r="EI17" s="37"/>
      <c r="EJ17" s="37"/>
      <c r="EK17" s="37"/>
      <c r="EL17" s="37"/>
      <c r="EM17" s="37"/>
      <c r="EN17" s="37"/>
      <c r="EO17" s="37"/>
      <c r="EP17" s="37"/>
      <c r="EQ17" s="37"/>
      <c r="ER17" s="37"/>
      <c r="ES17" s="37"/>
      <c r="ET17" s="37"/>
      <c r="EU17" s="37"/>
      <c r="EV17" s="37"/>
      <c r="EW17" s="37"/>
      <c r="EX17" s="37"/>
      <c r="EY17" s="37"/>
      <c r="EZ17" s="37"/>
      <c r="FA17" s="37"/>
      <c r="FB17" s="37"/>
      <c r="FC17" s="37"/>
      <c r="FD17" s="37"/>
      <c r="FE17" s="37"/>
      <c r="FF17" s="37"/>
      <c r="FG17" s="37"/>
      <c r="FH17" s="37"/>
      <c r="FI17" s="37"/>
      <c r="FJ17" s="37"/>
      <c r="FK17" s="37"/>
      <c r="FL17" s="37"/>
      <c r="FM17" s="37"/>
      <c r="FN17" s="37"/>
      <c r="FO17" s="37"/>
      <c r="FP17" s="37"/>
      <c r="FQ17" s="37"/>
      <c r="FR17" s="37"/>
      <c r="FS17" s="37"/>
      <c r="FT17" s="37"/>
      <c r="FU17" s="37"/>
      <c r="FV17" s="37"/>
      <c r="FW17" s="37"/>
      <c r="FX17" s="37"/>
      <c r="FY17" s="37"/>
      <c r="FZ17" s="37"/>
      <c r="GA17" s="37"/>
      <c r="GB17" s="37"/>
      <c r="GC17" s="37"/>
      <c r="GD17" s="37"/>
      <c r="GE17" s="37"/>
      <c r="GF17" s="37"/>
      <c r="GG17" s="37"/>
      <c r="GH17" s="37"/>
      <c r="GI17" s="37"/>
      <c r="GJ17" s="37"/>
      <c r="GK17" s="37"/>
      <c r="GL17" s="37"/>
      <c r="GM17" s="37"/>
      <c r="GN17" s="37"/>
      <c r="GO17" s="37"/>
      <c r="GP17" s="37"/>
      <c r="GQ17" s="37"/>
      <c r="GR17" s="37"/>
      <c r="GS17" s="37"/>
      <c r="GT17" s="37"/>
      <c r="GU17" s="37"/>
      <c r="GV17" s="37"/>
      <c r="GW17" s="37"/>
      <c r="GX17" s="37"/>
      <c r="GY17" s="37"/>
      <c r="GZ17" s="37"/>
      <c r="HA17" s="37"/>
      <c r="HB17" s="37"/>
      <c r="HC17" s="37"/>
      <c r="HD17" s="37"/>
      <c r="HE17" s="37"/>
      <c r="HF17" s="37"/>
      <c r="HG17" s="37"/>
      <c r="HH17" s="37"/>
      <c r="HI17" s="37"/>
      <c r="HJ17" s="37"/>
      <c r="HK17" s="37"/>
      <c r="HL17" s="37"/>
      <c r="HM17" s="37"/>
      <c r="HN17" s="37"/>
      <c r="HO17" s="37"/>
      <c r="HP17" s="37"/>
      <c r="HQ17" s="37"/>
      <c r="HR17" s="37"/>
      <c r="HS17" s="37"/>
      <c r="HT17" s="37"/>
      <c r="HU17" s="37"/>
      <c r="HV17" s="37"/>
      <c r="HW17" s="37"/>
      <c r="HX17" s="37"/>
      <c r="HY17" s="37"/>
      <c r="HZ17" s="37"/>
      <c r="IA17" s="37"/>
      <c r="IB17" s="37"/>
      <c r="IC17" s="37"/>
      <c r="ID17" s="37"/>
      <c r="IE17" s="37"/>
      <c r="IF17" s="37"/>
      <c r="IG17" s="37"/>
      <c r="IH17" s="37"/>
      <c r="II17" s="37"/>
      <c r="IJ17" s="37"/>
      <c r="IK17" s="37"/>
      <c r="IL17" s="37"/>
      <c r="IM17" s="37"/>
      <c r="IN17" s="37"/>
      <c r="IO17" s="37"/>
      <c r="IP17" s="37"/>
      <c r="IQ17" s="37"/>
      <c r="IR17" s="37"/>
      <c r="IS17" s="37"/>
      <c r="IT17" s="37"/>
      <c r="IU17" s="37"/>
      <c r="IV17" s="37"/>
      <c r="IW17" s="37"/>
      <c r="IX17" s="37"/>
      <c r="IY17" s="37"/>
      <c r="IZ17" s="37"/>
      <c r="JA17" s="37"/>
      <c r="JB17" s="37"/>
      <c r="JC17" s="37"/>
      <c r="JD17" s="37"/>
      <c r="JE17" s="37"/>
      <c r="JF17" s="37"/>
      <c r="JG17" s="37"/>
      <c r="JH17" s="37"/>
      <c r="JI17" s="37"/>
      <c r="JJ17" s="37"/>
      <c r="JK17" s="37"/>
      <c r="JL17" s="37"/>
      <c r="JM17" s="37"/>
      <c r="JN17" s="37"/>
      <c r="JO17" s="37"/>
      <c r="JP17" s="37"/>
      <c r="JQ17" s="37"/>
      <c r="JR17" s="37"/>
      <c r="JS17" s="37"/>
      <c r="JT17" s="37"/>
      <c r="JU17" s="37"/>
      <c r="JV17" s="37"/>
      <c r="JW17" s="37"/>
      <c r="JX17" s="37"/>
      <c r="JY17" s="37"/>
      <c r="JZ17" s="37"/>
      <c r="KA17" s="37"/>
      <c r="KB17" s="37"/>
    </row>
    <row r="18" spans="1:288" s="10" customFormat="1" ht="40.200000000000003" customHeight="1" x14ac:dyDescent="0.3">
      <c r="A18" s="3"/>
      <c r="B18" s="46" t="s">
        <v>75</v>
      </c>
      <c r="C18" s="26" t="s">
        <v>62</v>
      </c>
      <c r="D18" s="26" t="s">
        <v>67</v>
      </c>
      <c r="E18" s="27">
        <f t="shared" ref="E18" ca="1" si="11">MIN(1, MAX(0, (TODAY() - F18 + 1) / G18))</f>
        <v>1</v>
      </c>
      <c r="F18" s="28">
        <f t="shared" si="9"/>
        <v>45956</v>
      </c>
      <c r="G18" s="29">
        <v>1</v>
      </c>
      <c r="H18" s="26"/>
      <c r="I18" s="37"/>
      <c r="J18" s="37"/>
      <c r="K18" s="37"/>
      <c r="L18" s="37"/>
      <c r="M18" s="37"/>
      <c r="N18" s="37"/>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K18" s="37"/>
      <c r="DL18" s="37"/>
      <c r="DM18" s="37"/>
      <c r="DN18" s="37"/>
      <c r="DO18" s="37"/>
      <c r="DP18" s="37"/>
      <c r="DQ18" s="37"/>
      <c r="DR18" s="37"/>
      <c r="DS18" s="37"/>
      <c r="DT18" s="37"/>
      <c r="DU18" s="37"/>
      <c r="DV18" s="37"/>
      <c r="DW18" s="37"/>
      <c r="DX18" s="37"/>
      <c r="DY18" s="37"/>
      <c r="DZ18" s="37"/>
      <c r="EA18" s="37"/>
      <c r="EB18" s="37"/>
      <c r="EC18" s="37"/>
      <c r="ED18" s="37"/>
      <c r="EE18" s="37"/>
      <c r="EF18" s="37"/>
      <c r="EG18" s="37"/>
      <c r="EH18" s="37"/>
      <c r="EI18" s="37"/>
      <c r="EJ18" s="37"/>
      <c r="EK18" s="37"/>
      <c r="EL18" s="37"/>
      <c r="EM18" s="37"/>
      <c r="EN18" s="37"/>
      <c r="EO18" s="37"/>
      <c r="EP18" s="37"/>
      <c r="EQ18" s="37"/>
      <c r="ER18" s="37"/>
      <c r="ES18" s="37"/>
      <c r="ET18" s="37"/>
      <c r="EU18" s="37"/>
      <c r="EV18" s="37"/>
      <c r="EW18" s="37"/>
      <c r="EX18" s="37"/>
      <c r="EY18" s="37"/>
      <c r="EZ18" s="37"/>
      <c r="FA18" s="37"/>
      <c r="FB18" s="37"/>
      <c r="FC18" s="37"/>
      <c r="FD18" s="37"/>
      <c r="FE18" s="37"/>
      <c r="FF18" s="37"/>
      <c r="FG18" s="37"/>
      <c r="FH18" s="37"/>
      <c r="FI18" s="37"/>
      <c r="FJ18" s="37"/>
      <c r="FK18" s="37"/>
      <c r="FL18" s="37"/>
      <c r="FM18" s="37"/>
      <c r="FN18" s="37"/>
      <c r="FO18" s="37"/>
      <c r="FP18" s="37"/>
      <c r="FQ18" s="37"/>
      <c r="FR18" s="37"/>
      <c r="FS18" s="37"/>
      <c r="FT18" s="37"/>
      <c r="FU18" s="37"/>
      <c r="FV18" s="37"/>
      <c r="FW18" s="37"/>
      <c r="FX18" s="37"/>
      <c r="FY18" s="37"/>
      <c r="FZ18" s="37"/>
      <c r="GA18" s="37"/>
      <c r="GB18" s="37"/>
      <c r="GC18" s="37"/>
      <c r="GD18" s="37"/>
      <c r="GE18" s="37"/>
      <c r="GF18" s="37"/>
      <c r="GG18" s="37"/>
      <c r="GH18" s="37"/>
      <c r="GI18" s="37"/>
      <c r="GJ18" s="37"/>
      <c r="GK18" s="37"/>
      <c r="GL18" s="37"/>
      <c r="GM18" s="37"/>
      <c r="GN18" s="37"/>
      <c r="GO18" s="37"/>
      <c r="GP18" s="37"/>
      <c r="GQ18" s="37"/>
      <c r="GR18" s="37"/>
      <c r="GS18" s="37"/>
      <c r="GT18" s="37"/>
      <c r="GU18" s="37"/>
      <c r="GV18" s="37"/>
      <c r="GW18" s="37"/>
      <c r="GX18" s="37"/>
      <c r="GY18" s="37"/>
      <c r="GZ18" s="37"/>
      <c r="HA18" s="37"/>
      <c r="HB18" s="37"/>
      <c r="HC18" s="37"/>
      <c r="HD18" s="37"/>
      <c r="HE18" s="37"/>
      <c r="HF18" s="37"/>
      <c r="HG18" s="37"/>
      <c r="HH18" s="37"/>
      <c r="HI18" s="37"/>
      <c r="HJ18" s="37"/>
      <c r="HK18" s="37"/>
      <c r="HL18" s="37"/>
      <c r="HM18" s="37"/>
      <c r="HN18" s="37"/>
      <c r="HO18" s="37"/>
      <c r="HP18" s="37"/>
      <c r="HQ18" s="37"/>
      <c r="HR18" s="37"/>
      <c r="HS18" s="37"/>
      <c r="HT18" s="37"/>
      <c r="HU18" s="37"/>
      <c r="HV18" s="37"/>
      <c r="HW18" s="37"/>
      <c r="HX18" s="37"/>
      <c r="HY18" s="37"/>
      <c r="HZ18" s="37"/>
      <c r="IA18" s="37"/>
      <c r="IB18" s="37"/>
      <c r="IC18" s="37"/>
      <c r="ID18" s="37"/>
      <c r="IE18" s="37"/>
      <c r="IF18" s="37"/>
      <c r="IG18" s="37"/>
      <c r="IH18" s="37"/>
      <c r="II18" s="37"/>
      <c r="IJ18" s="37"/>
      <c r="IK18" s="37"/>
      <c r="IL18" s="37"/>
      <c r="IM18" s="37"/>
      <c r="IN18" s="37"/>
      <c r="IO18" s="37"/>
      <c r="IP18" s="37"/>
      <c r="IQ18" s="37"/>
      <c r="IR18" s="37"/>
      <c r="IS18" s="37"/>
      <c r="IT18" s="37"/>
      <c r="IU18" s="37"/>
      <c r="IV18" s="37"/>
      <c r="IW18" s="37"/>
      <c r="IX18" s="37"/>
      <c r="IY18" s="37"/>
      <c r="IZ18" s="37"/>
      <c r="JA18" s="37"/>
      <c r="JB18" s="37"/>
      <c r="JC18" s="37"/>
      <c r="JD18" s="37"/>
      <c r="JE18" s="37"/>
      <c r="JF18" s="37"/>
      <c r="JG18" s="37"/>
      <c r="JH18" s="37"/>
      <c r="JI18" s="37"/>
      <c r="JJ18" s="37"/>
      <c r="JK18" s="37"/>
      <c r="JL18" s="37"/>
      <c r="JM18" s="37"/>
      <c r="JN18" s="37"/>
      <c r="JO18" s="37"/>
      <c r="JP18" s="37"/>
      <c r="JQ18" s="37"/>
      <c r="JR18" s="37"/>
      <c r="JS18" s="37"/>
      <c r="JT18" s="37"/>
      <c r="JU18" s="37"/>
      <c r="JV18" s="37"/>
      <c r="JW18" s="37"/>
      <c r="JX18" s="37"/>
      <c r="JY18" s="37"/>
      <c r="JZ18" s="37"/>
      <c r="KA18" s="37"/>
      <c r="KB18" s="37"/>
    </row>
    <row r="19" spans="1:288" s="10" customFormat="1" ht="40.200000000000003" customHeight="1" x14ac:dyDescent="0.3">
      <c r="A19" s="3"/>
      <c r="B19" s="46" t="s">
        <v>78</v>
      </c>
      <c r="C19" s="26" t="s">
        <v>66</v>
      </c>
      <c r="D19" s="26" t="s">
        <v>67</v>
      </c>
      <c r="E19" s="27">
        <f t="shared" ca="1" si="10"/>
        <v>0.6333333333333333</v>
      </c>
      <c r="F19" s="28">
        <f t="shared" si="9"/>
        <v>45956</v>
      </c>
      <c r="G19" s="29">
        <v>30</v>
      </c>
      <c r="H19" s="26"/>
      <c r="I19" s="37"/>
      <c r="J19" s="37"/>
      <c r="K19" s="37"/>
      <c r="L19" s="37"/>
      <c r="M19" s="37"/>
      <c r="N19" s="37"/>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K19" s="37"/>
      <c r="DL19" s="37"/>
      <c r="DM19" s="37"/>
      <c r="DN19" s="37"/>
      <c r="DO19" s="37"/>
      <c r="DP19" s="37"/>
      <c r="DQ19" s="37"/>
      <c r="DR19" s="37"/>
      <c r="DS19" s="37"/>
      <c r="DT19" s="37"/>
      <c r="DU19" s="37"/>
      <c r="DV19" s="37"/>
      <c r="DW19" s="37"/>
      <c r="DX19" s="37"/>
      <c r="DY19" s="37"/>
      <c r="DZ19" s="37"/>
      <c r="EA19" s="37"/>
      <c r="EB19" s="37"/>
      <c r="EC19" s="37"/>
      <c r="ED19" s="37"/>
      <c r="EE19" s="37"/>
      <c r="EF19" s="37"/>
      <c r="EG19" s="37"/>
      <c r="EH19" s="37"/>
      <c r="EI19" s="37"/>
      <c r="EJ19" s="37"/>
      <c r="EK19" s="37"/>
      <c r="EL19" s="37"/>
      <c r="EM19" s="37"/>
      <c r="EN19" s="37"/>
      <c r="EO19" s="37"/>
      <c r="EP19" s="37"/>
      <c r="EQ19" s="37"/>
      <c r="ER19" s="37"/>
      <c r="ES19" s="37"/>
      <c r="ET19" s="37"/>
      <c r="EU19" s="37"/>
      <c r="EV19" s="37"/>
      <c r="EW19" s="37"/>
      <c r="EX19" s="37"/>
      <c r="EY19" s="37"/>
      <c r="EZ19" s="37"/>
      <c r="FA19" s="37"/>
      <c r="FB19" s="37"/>
      <c r="FC19" s="37"/>
      <c r="FD19" s="37"/>
      <c r="FE19" s="37"/>
      <c r="FF19" s="37"/>
      <c r="FG19" s="37"/>
      <c r="FH19" s="37"/>
      <c r="FI19" s="37"/>
      <c r="FJ19" s="37"/>
      <c r="FK19" s="37"/>
      <c r="FL19" s="37"/>
      <c r="FM19" s="37"/>
      <c r="FN19" s="37"/>
      <c r="FO19" s="37"/>
      <c r="FP19" s="37"/>
      <c r="FQ19" s="37"/>
      <c r="FR19" s="37"/>
      <c r="FS19" s="37"/>
      <c r="FT19" s="37"/>
      <c r="FU19" s="37"/>
      <c r="FV19" s="37"/>
      <c r="FW19" s="37"/>
      <c r="FX19" s="37"/>
      <c r="FY19" s="37"/>
      <c r="FZ19" s="37"/>
      <c r="GA19" s="37"/>
      <c r="GB19" s="37"/>
      <c r="GC19" s="37"/>
      <c r="GD19" s="37"/>
      <c r="GE19" s="37"/>
      <c r="GF19" s="37"/>
      <c r="GG19" s="37"/>
      <c r="GH19" s="37"/>
      <c r="GI19" s="37"/>
      <c r="GJ19" s="37"/>
      <c r="GK19" s="37"/>
      <c r="GL19" s="37"/>
      <c r="GM19" s="37"/>
      <c r="GN19" s="37"/>
      <c r="GO19" s="37"/>
      <c r="GP19" s="37"/>
      <c r="GQ19" s="37"/>
      <c r="GR19" s="37"/>
      <c r="GS19" s="37"/>
      <c r="GT19" s="37"/>
      <c r="GU19" s="37"/>
      <c r="GV19" s="37"/>
      <c r="GW19" s="37"/>
      <c r="GX19" s="37"/>
      <c r="GY19" s="37"/>
      <c r="GZ19" s="37"/>
      <c r="HA19" s="37"/>
      <c r="HB19" s="37"/>
      <c r="HC19" s="37"/>
      <c r="HD19" s="37"/>
      <c r="HE19" s="37"/>
      <c r="HF19" s="37"/>
      <c r="HG19" s="37"/>
      <c r="HH19" s="37"/>
      <c r="HI19" s="37"/>
      <c r="HJ19" s="37"/>
      <c r="HK19" s="37"/>
      <c r="HL19" s="37"/>
      <c r="HM19" s="37"/>
      <c r="HN19" s="37"/>
      <c r="HO19" s="37"/>
      <c r="HP19" s="37"/>
      <c r="HQ19" s="37"/>
      <c r="HR19" s="37"/>
      <c r="HS19" s="37"/>
      <c r="HT19" s="37"/>
      <c r="HU19" s="37"/>
      <c r="HV19" s="37"/>
      <c r="HW19" s="37"/>
      <c r="HX19" s="37"/>
      <c r="HY19" s="37"/>
      <c r="HZ19" s="37"/>
      <c r="IA19" s="37"/>
      <c r="IB19" s="37"/>
      <c r="IC19" s="37"/>
      <c r="ID19" s="37"/>
      <c r="IE19" s="37"/>
      <c r="IF19" s="37"/>
      <c r="IG19" s="37"/>
      <c r="IH19" s="37"/>
      <c r="II19" s="37"/>
      <c r="IJ19" s="37"/>
      <c r="IK19" s="37"/>
      <c r="IL19" s="37"/>
      <c r="IM19" s="37"/>
      <c r="IN19" s="37"/>
      <c r="IO19" s="37"/>
      <c r="IP19" s="37"/>
      <c r="IQ19" s="37"/>
      <c r="IR19" s="37"/>
      <c r="IS19" s="37"/>
      <c r="IT19" s="37"/>
      <c r="IU19" s="37"/>
      <c r="IV19" s="37"/>
      <c r="IW19" s="37"/>
      <c r="IX19" s="37"/>
      <c r="IY19" s="37"/>
      <c r="IZ19" s="37"/>
      <c r="JA19" s="37"/>
      <c r="JB19" s="37"/>
      <c r="JC19" s="37"/>
      <c r="JD19" s="37"/>
      <c r="JE19" s="37"/>
      <c r="JF19" s="37"/>
      <c r="JG19" s="37"/>
      <c r="JH19" s="37"/>
      <c r="JI19" s="37"/>
      <c r="JJ19" s="37"/>
      <c r="JK19" s="37"/>
      <c r="JL19" s="37"/>
      <c r="JM19" s="37"/>
      <c r="JN19" s="37"/>
      <c r="JO19" s="37"/>
      <c r="JP19" s="37"/>
      <c r="JQ19" s="37"/>
      <c r="JR19" s="37"/>
      <c r="JS19" s="37"/>
      <c r="JT19" s="37"/>
      <c r="JU19" s="37"/>
      <c r="JV19" s="37"/>
      <c r="JW19" s="37"/>
      <c r="JX19" s="37"/>
      <c r="JY19" s="37"/>
      <c r="JZ19" s="37"/>
      <c r="KA19" s="37"/>
      <c r="KB19" s="37"/>
    </row>
    <row r="20" spans="1:288" s="10" customFormat="1" ht="40.200000000000003" customHeight="1" x14ac:dyDescent="0.3">
      <c r="A20" s="3"/>
      <c r="B20" s="46" t="s">
        <v>88</v>
      </c>
      <c r="C20" s="26" t="s">
        <v>64</v>
      </c>
      <c r="D20" s="26" t="s">
        <v>24</v>
      </c>
      <c r="E20" s="27">
        <f t="shared" ref="E20:E24" ca="1" si="12">MIN(1, MAX(0, (TODAY() - F20 + 1) / G20))</f>
        <v>1</v>
      </c>
      <c r="F20" s="28">
        <f>Project_Start+1</f>
        <v>45957</v>
      </c>
      <c r="G20" s="29">
        <v>1</v>
      </c>
      <c r="H20" s="26"/>
      <c r="I20" s="37"/>
      <c r="J20" s="37"/>
      <c r="K20" s="37"/>
      <c r="L20" s="37"/>
      <c r="M20" s="37"/>
      <c r="N20" s="37"/>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K20" s="37"/>
      <c r="DL20" s="37"/>
      <c r="DM20" s="37"/>
      <c r="DN20" s="37"/>
      <c r="DO20" s="37"/>
      <c r="DP20" s="37"/>
      <c r="DQ20" s="37"/>
      <c r="DR20" s="37"/>
      <c r="DS20" s="37"/>
      <c r="DT20" s="37"/>
      <c r="DU20" s="37"/>
      <c r="DV20" s="37"/>
      <c r="DW20" s="37"/>
      <c r="DX20" s="37"/>
      <c r="DY20" s="37"/>
      <c r="DZ20" s="37"/>
      <c r="EA20" s="37"/>
      <c r="EB20" s="37"/>
      <c r="EC20" s="37"/>
      <c r="ED20" s="37"/>
      <c r="EE20" s="37"/>
      <c r="EF20" s="37"/>
      <c r="EG20" s="37"/>
      <c r="EH20" s="37"/>
      <c r="EI20" s="37"/>
      <c r="EJ20" s="37"/>
      <c r="EK20" s="37"/>
      <c r="EL20" s="37"/>
      <c r="EM20" s="37"/>
      <c r="EN20" s="37"/>
      <c r="EO20" s="37"/>
      <c r="EP20" s="37"/>
      <c r="EQ20" s="37"/>
      <c r="ER20" s="37"/>
      <c r="ES20" s="37"/>
      <c r="ET20" s="37"/>
      <c r="EU20" s="37"/>
      <c r="EV20" s="37"/>
      <c r="EW20" s="37"/>
      <c r="EX20" s="37"/>
      <c r="EY20" s="37"/>
      <c r="EZ20" s="37"/>
      <c r="FA20" s="37"/>
      <c r="FB20" s="37"/>
      <c r="FC20" s="37"/>
      <c r="FD20" s="37"/>
      <c r="FE20" s="37"/>
      <c r="FF20" s="37"/>
      <c r="FG20" s="37"/>
      <c r="FH20" s="37"/>
      <c r="FI20" s="37"/>
      <c r="FJ20" s="37"/>
      <c r="FK20" s="37"/>
      <c r="FL20" s="37"/>
      <c r="FM20" s="37"/>
      <c r="FN20" s="37"/>
      <c r="FO20" s="37"/>
      <c r="FP20" s="37"/>
      <c r="FQ20" s="37"/>
      <c r="FR20" s="37"/>
      <c r="FS20" s="37"/>
      <c r="FT20" s="37"/>
      <c r="FU20" s="37"/>
      <c r="FV20" s="37"/>
      <c r="FW20" s="37"/>
      <c r="FX20" s="37"/>
      <c r="FY20" s="37"/>
      <c r="FZ20" s="37"/>
      <c r="GA20" s="37"/>
      <c r="GB20" s="37"/>
      <c r="GC20" s="37"/>
      <c r="GD20" s="37"/>
      <c r="GE20" s="37"/>
      <c r="GF20" s="37"/>
      <c r="GG20" s="37"/>
      <c r="GH20" s="37"/>
      <c r="GI20" s="37"/>
      <c r="GJ20" s="37"/>
      <c r="GK20" s="37"/>
      <c r="GL20" s="37"/>
      <c r="GM20" s="37"/>
      <c r="GN20" s="37"/>
      <c r="GO20" s="37"/>
      <c r="GP20" s="37"/>
      <c r="GQ20" s="37"/>
      <c r="GR20" s="37"/>
      <c r="GS20" s="37"/>
      <c r="GT20" s="37"/>
      <c r="GU20" s="37"/>
      <c r="GV20" s="37"/>
      <c r="GW20" s="37"/>
      <c r="GX20" s="37"/>
      <c r="GY20" s="37"/>
      <c r="GZ20" s="37"/>
      <c r="HA20" s="37"/>
      <c r="HB20" s="37"/>
      <c r="HC20" s="37"/>
      <c r="HD20" s="37"/>
      <c r="HE20" s="37"/>
      <c r="HF20" s="37"/>
      <c r="HG20" s="37"/>
      <c r="HH20" s="37"/>
      <c r="HI20" s="37"/>
      <c r="HJ20" s="37"/>
      <c r="HK20" s="37"/>
      <c r="HL20" s="37"/>
      <c r="HM20" s="37"/>
      <c r="HN20" s="37"/>
      <c r="HO20" s="37"/>
      <c r="HP20" s="37"/>
      <c r="HQ20" s="37"/>
      <c r="HR20" s="37"/>
      <c r="HS20" s="37"/>
      <c r="HT20" s="37"/>
      <c r="HU20" s="37"/>
      <c r="HV20" s="37"/>
      <c r="HW20" s="37"/>
      <c r="HX20" s="37"/>
      <c r="HY20" s="37"/>
      <c r="HZ20" s="37"/>
      <c r="IA20" s="37"/>
      <c r="IB20" s="37"/>
      <c r="IC20" s="37"/>
      <c r="ID20" s="37"/>
      <c r="IE20" s="37"/>
      <c r="IF20" s="37"/>
      <c r="IG20" s="37"/>
      <c r="IH20" s="37"/>
      <c r="II20" s="37"/>
      <c r="IJ20" s="37"/>
      <c r="IK20" s="37"/>
      <c r="IL20" s="37"/>
      <c r="IM20" s="37"/>
      <c r="IN20" s="37"/>
      <c r="IO20" s="37"/>
      <c r="IP20" s="37"/>
      <c r="IQ20" s="37"/>
      <c r="IR20" s="37"/>
      <c r="IS20" s="37"/>
      <c r="IT20" s="37"/>
      <c r="IU20" s="37"/>
      <c r="IV20" s="37"/>
      <c r="IW20" s="37"/>
      <c r="IX20" s="37"/>
      <c r="IY20" s="37"/>
      <c r="IZ20" s="37"/>
      <c r="JA20" s="37"/>
      <c r="JB20" s="37"/>
      <c r="JC20" s="37"/>
      <c r="JD20" s="37"/>
      <c r="JE20" s="37"/>
      <c r="JF20" s="37"/>
      <c r="JG20" s="37"/>
      <c r="JH20" s="37"/>
      <c r="JI20" s="37"/>
      <c r="JJ20" s="37"/>
      <c r="JK20" s="37"/>
      <c r="JL20" s="37"/>
      <c r="JM20" s="37"/>
      <c r="JN20" s="37"/>
      <c r="JO20" s="37"/>
      <c r="JP20" s="37"/>
      <c r="JQ20" s="37"/>
      <c r="JR20" s="37"/>
      <c r="JS20" s="37"/>
      <c r="JT20" s="37"/>
      <c r="JU20" s="37"/>
      <c r="JV20" s="37"/>
      <c r="JW20" s="37"/>
      <c r="JX20" s="37"/>
      <c r="JY20" s="37"/>
      <c r="JZ20" s="37"/>
      <c r="KA20" s="37"/>
      <c r="KB20" s="37"/>
    </row>
    <row r="21" spans="1:288" s="10" customFormat="1" ht="40.200000000000003" customHeight="1" x14ac:dyDescent="0.3">
      <c r="A21" s="3"/>
      <c r="B21" s="46" t="s">
        <v>72</v>
      </c>
      <c r="C21" s="26" t="s">
        <v>63</v>
      </c>
      <c r="D21" s="26" t="s">
        <v>74</v>
      </c>
      <c r="E21" s="27">
        <f t="shared" ca="1" si="12"/>
        <v>0.9</v>
      </c>
      <c r="F21" s="28">
        <f>Project_Start+1</f>
        <v>45957</v>
      </c>
      <c r="G21" s="29">
        <v>20</v>
      </c>
      <c r="H21" s="26"/>
      <c r="I21" s="37"/>
      <c r="J21" s="37"/>
      <c r="K21" s="37"/>
      <c r="L21" s="37"/>
      <c r="M21" s="37"/>
      <c r="N21" s="37"/>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K21" s="37"/>
      <c r="DL21" s="37"/>
      <c r="DM21" s="37"/>
      <c r="DN21" s="37"/>
      <c r="DO21" s="37"/>
      <c r="DP21" s="37"/>
      <c r="DQ21" s="37"/>
      <c r="DR21" s="37"/>
      <c r="DS21" s="37"/>
      <c r="DT21" s="37"/>
      <c r="DU21" s="37"/>
      <c r="DV21" s="37"/>
      <c r="DW21" s="37"/>
      <c r="DX21" s="37"/>
      <c r="DY21" s="37"/>
      <c r="DZ21" s="37"/>
      <c r="EA21" s="37"/>
      <c r="EB21" s="37"/>
      <c r="EC21" s="37"/>
      <c r="ED21" s="37"/>
      <c r="EE21" s="37"/>
      <c r="EF21" s="37"/>
      <c r="EG21" s="37"/>
      <c r="EH21" s="37"/>
      <c r="EI21" s="37"/>
      <c r="EJ21" s="37"/>
      <c r="EK21" s="37"/>
      <c r="EL21" s="37"/>
      <c r="EM21" s="37"/>
      <c r="EN21" s="37"/>
      <c r="EO21" s="37"/>
      <c r="EP21" s="37"/>
      <c r="EQ21" s="37"/>
      <c r="ER21" s="37"/>
      <c r="ES21" s="37"/>
      <c r="ET21" s="37"/>
      <c r="EU21" s="37"/>
      <c r="EV21" s="37"/>
      <c r="EW21" s="37"/>
      <c r="EX21" s="37"/>
      <c r="EY21" s="37"/>
      <c r="EZ21" s="37"/>
      <c r="FA21" s="37"/>
      <c r="FB21" s="37"/>
      <c r="FC21" s="37"/>
      <c r="FD21" s="37"/>
      <c r="FE21" s="37"/>
      <c r="FF21" s="37"/>
      <c r="FG21" s="37"/>
      <c r="FH21" s="37"/>
      <c r="FI21" s="37"/>
      <c r="FJ21" s="37"/>
      <c r="FK21" s="37"/>
      <c r="FL21" s="37"/>
      <c r="FM21" s="37"/>
      <c r="FN21" s="37"/>
      <c r="FO21" s="37"/>
      <c r="FP21" s="37"/>
      <c r="FQ21" s="37"/>
      <c r="FR21" s="37"/>
      <c r="FS21" s="37"/>
      <c r="FT21" s="37"/>
      <c r="FU21" s="37"/>
      <c r="FV21" s="37"/>
      <c r="FW21" s="37"/>
      <c r="FX21" s="37"/>
      <c r="FY21" s="37"/>
      <c r="FZ21" s="37"/>
      <c r="GA21" s="37"/>
      <c r="GB21" s="37"/>
      <c r="GC21" s="37"/>
      <c r="GD21" s="37"/>
      <c r="GE21" s="37"/>
      <c r="GF21" s="37"/>
      <c r="GG21" s="37"/>
      <c r="GH21" s="37"/>
      <c r="GI21" s="37"/>
      <c r="GJ21" s="37"/>
      <c r="GK21" s="37"/>
      <c r="GL21" s="37"/>
      <c r="GM21" s="37"/>
      <c r="GN21" s="37"/>
      <c r="GO21" s="37"/>
      <c r="GP21" s="37"/>
      <c r="GQ21" s="37"/>
      <c r="GR21" s="37"/>
      <c r="GS21" s="37"/>
      <c r="GT21" s="37"/>
      <c r="GU21" s="37"/>
      <c r="GV21" s="37"/>
      <c r="GW21" s="37"/>
      <c r="GX21" s="37"/>
      <c r="GY21" s="37"/>
      <c r="GZ21" s="37"/>
      <c r="HA21" s="37"/>
      <c r="HB21" s="37"/>
      <c r="HC21" s="37"/>
      <c r="HD21" s="37"/>
      <c r="HE21" s="37"/>
      <c r="HF21" s="37"/>
      <c r="HG21" s="37"/>
      <c r="HH21" s="37"/>
      <c r="HI21" s="37"/>
      <c r="HJ21" s="37"/>
      <c r="HK21" s="37"/>
      <c r="HL21" s="37"/>
      <c r="HM21" s="37"/>
      <c r="HN21" s="37"/>
      <c r="HO21" s="37"/>
      <c r="HP21" s="37"/>
      <c r="HQ21" s="37"/>
      <c r="HR21" s="37"/>
      <c r="HS21" s="37"/>
      <c r="HT21" s="37"/>
      <c r="HU21" s="37"/>
      <c r="HV21" s="37"/>
      <c r="HW21" s="37"/>
      <c r="HX21" s="37"/>
      <c r="HY21" s="37"/>
      <c r="HZ21" s="37"/>
      <c r="IA21" s="37"/>
      <c r="IB21" s="37"/>
      <c r="IC21" s="37"/>
      <c r="ID21" s="37"/>
      <c r="IE21" s="37"/>
      <c r="IF21" s="37"/>
      <c r="IG21" s="37"/>
      <c r="IH21" s="37"/>
      <c r="II21" s="37"/>
      <c r="IJ21" s="37"/>
      <c r="IK21" s="37"/>
      <c r="IL21" s="37"/>
      <c r="IM21" s="37"/>
      <c r="IN21" s="37"/>
      <c r="IO21" s="37"/>
      <c r="IP21" s="37"/>
      <c r="IQ21" s="37"/>
      <c r="IR21" s="37"/>
      <c r="IS21" s="37"/>
      <c r="IT21" s="37"/>
      <c r="IU21" s="37"/>
      <c r="IV21" s="37"/>
      <c r="IW21" s="37"/>
      <c r="IX21" s="37"/>
      <c r="IY21" s="37"/>
      <c r="IZ21" s="37"/>
      <c r="JA21" s="37"/>
      <c r="JB21" s="37"/>
      <c r="JC21" s="37"/>
      <c r="JD21" s="37"/>
      <c r="JE21" s="37"/>
      <c r="JF21" s="37"/>
      <c r="JG21" s="37"/>
      <c r="JH21" s="37"/>
      <c r="JI21" s="37"/>
      <c r="JJ21" s="37"/>
      <c r="JK21" s="37"/>
      <c r="JL21" s="37"/>
      <c r="JM21" s="37"/>
      <c r="JN21" s="37"/>
      <c r="JO21" s="37"/>
      <c r="JP21" s="37"/>
      <c r="JQ21" s="37"/>
      <c r="JR21" s="37"/>
      <c r="JS21" s="37"/>
      <c r="JT21" s="37"/>
      <c r="JU21" s="37"/>
      <c r="JV21" s="37"/>
      <c r="JW21" s="37"/>
      <c r="JX21" s="37"/>
      <c r="JY21" s="37"/>
      <c r="JZ21" s="37"/>
      <c r="KA21" s="37"/>
      <c r="KB21" s="37"/>
    </row>
    <row r="22" spans="1:288" s="10" customFormat="1" ht="40.200000000000003" customHeight="1" x14ac:dyDescent="0.3">
      <c r="A22" s="3"/>
      <c r="B22" s="46" t="s">
        <v>84</v>
      </c>
      <c r="C22" s="26" t="s">
        <v>64</v>
      </c>
      <c r="D22" s="26" t="s">
        <v>24</v>
      </c>
      <c r="E22" s="27">
        <f ca="1">MIN(1, MAX(0, (TODAY() - F22 + 1) / G22))</f>
        <v>1</v>
      </c>
      <c r="F22" s="28">
        <f>Project_Start+13</f>
        <v>45969</v>
      </c>
      <c r="G22" s="29">
        <v>6</v>
      </c>
      <c r="H22" s="26"/>
      <c r="I22" s="37"/>
      <c r="J22" s="37"/>
      <c r="K22" s="37"/>
      <c r="L22" s="37"/>
      <c r="M22" s="37"/>
      <c r="N22" s="37"/>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K22" s="37"/>
      <c r="DL22" s="37"/>
      <c r="DM22" s="37"/>
      <c r="DN22" s="37"/>
      <c r="DO22" s="37"/>
      <c r="DP22" s="37"/>
      <c r="DQ22" s="37"/>
      <c r="DR22" s="37"/>
      <c r="DS22" s="37"/>
      <c r="DT22" s="37"/>
      <c r="DU22" s="37"/>
      <c r="DV22" s="37"/>
      <c r="DW22" s="37"/>
      <c r="DX22" s="37"/>
      <c r="DY22" s="37"/>
      <c r="DZ22" s="37"/>
      <c r="EA22" s="37"/>
      <c r="EB22" s="37"/>
      <c r="EC22" s="37"/>
      <c r="ED22" s="37"/>
      <c r="EE22" s="37"/>
      <c r="EF22" s="37"/>
      <c r="EG22" s="37"/>
      <c r="EH22" s="37"/>
      <c r="EI22" s="37"/>
      <c r="EJ22" s="37"/>
      <c r="EK22" s="37"/>
      <c r="EL22" s="37"/>
      <c r="EM22" s="37"/>
      <c r="EN22" s="37"/>
      <c r="EO22" s="37"/>
      <c r="EP22" s="37"/>
      <c r="EQ22" s="37"/>
      <c r="ER22" s="37"/>
      <c r="ES22" s="37"/>
      <c r="ET22" s="37"/>
      <c r="EU22" s="37"/>
      <c r="EV22" s="37"/>
      <c r="EW22" s="37"/>
      <c r="EX22" s="37"/>
      <c r="EY22" s="37"/>
      <c r="EZ22" s="37"/>
      <c r="FA22" s="37"/>
      <c r="FB22" s="37"/>
      <c r="FC22" s="37"/>
      <c r="FD22" s="37"/>
      <c r="FE22" s="37"/>
      <c r="FF22" s="37"/>
      <c r="FG22" s="37"/>
      <c r="FH22" s="37"/>
      <c r="FI22" s="37"/>
      <c r="FJ22" s="37"/>
      <c r="FK22" s="37"/>
      <c r="FL22" s="37"/>
      <c r="FM22" s="37"/>
      <c r="FN22" s="37"/>
      <c r="FO22" s="37"/>
      <c r="FP22" s="37"/>
      <c r="FQ22" s="37"/>
      <c r="FR22" s="37"/>
      <c r="FS22" s="37"/>
      <c r="FT22" s="37"/>
      <c r="FU22" s="37"/>
      <c r="FV22" s="37"/>
      <c r="FW22" s="37"/>
      <c r="FX22" s="37"/>
      <c r="FY22" s="37"/>
      <c r="FZ22" s="37"/>
      <c r="GA22" s="37"/>
      <c r="GB22" s="37"/>
      <c r="GC22" s="37"/>
      <c r="GD22" s="37"/>
      <c r="GE22" s="37"/>
      <c r="GF22" s="37"/>
      <c r="GG22" s="37"/>
      <c r="GH22" s="37"/>
      <c r="GI22" s="37"/>
      <c r="GJ22" s="37"/>
      <c r="GK22" s="37"/>
      <c r="GL22" s="37"/>
      <c r="GM22" s="37"/>
      <c r="GN22" s="37"/>
      <c r="GO22" s="37"/>
      <c r="GP22" s="37"/>
      <c r="GQ22" s="37"/>
      <c r="GR22" s="37"/>
      <c r="GS22" s="37"/>
      <c r="GT22" s="37"/>
      <c r="GU22" s="37"/>
      <c r="GV22" s="37"/>
      <c r="GW22" s="37"/>
      <c r="GX22" s="37"/>
      <c r="GY22" s="37"/>
      <c r="GZ22" s="37"/>
      <c r="HA22" s="37"/>
      <c r="HB22" s="37"/>
      <c r="HC22" s="37"/>
      <c r="HD22" s="37"/>
      <c r="HE22" s="37"/>
      <c r="HF22" s="37"/>
      <c r="HG22" s="37"/>
      <c r="HH22" s="37"/>
      <c r="HI22" s="37"/>
      <c r="HJ22" s="37"/>
      <c r="HK22" s="37"/>
      <c r="HL22" s="37"/>
      <c r="HM22" s="37"/>
      <c r="HN22" s="37"/>
      <c r="HO22" s="37"/>
      <c r="HP22" s="37"/>
      <c r="HQ22" s="37"/>
      <c r="HR22" s="37"/>
      <c r="HS22" s="37"/>
      <c r="HT22" s="37"/>
      <c r="HU22" s="37"/>
      <c r="HV22" s="37"/>
      <c r="HW22" s="37"/>
      <c r="HX22" s="37"/>
      <c r="HY22" s="37"/>
      <c r="HZ22" s="37"/>
      <c r="IA22" s="37"/>
      <c r="IB22" s="37"/>
      <c r="IC22" s="37"/>
      <c r="ID22" s="37"/>
      <c r="IE22" s="37"/>
      <c r="IF22" s="37"/>
      <c r="IG22" s="37"/>
      <c r="IH22" s="37"/>
      <c r="II22" s="37"/>
      <c r="IJ22" s="37"/>
      <c r="IK22" s="37"/>
      <c r="IL22" s="37"/>
      <c r="IM22" s="37"/>
      <c r="IN22" s="37"/>
      <c r="IO22" s="37"/>
      <c r="IP22" s="37"/>
      <c r="IQ22" s="37"/>
      <c r="IR22" s="37"/>
      <c r="IS22" s="37"/>
      <c r="IT22" s="37"/>
      <c r="IU22" s="37"/>
      <c r="IV22" s="37"/>
      <c r="IW22" s="37"/>
      <c r="IX22" s="37"/>
      <c r="IY22" s="37"/>
      <c r="IZ22" s="37"/>
      <c r="JA22" s="37"/>
      <c r="JB22" s="37"/>
      <c r="JC22" s="37"/>
      <c r="JD22" s="37"/>
      <c r="JE22" s="37"/>
      <c r="JF22" s="37"/>
      <c r="JG22" s="37"/>
      <c r="JH22" s="37"/>
      <c r="JI22" s="37"/>
      <c r="JJ22" s="37"/>
      <c r="JK22" s="37"/>
      <c r="JL22" s="37"/>
      <c r="JM22" s="37"/>
      <c r="JN22" s="37"/>
      <c r="JO22" s="37"/>
      <c r="JP22" s="37"/>
      <c r="JQ22" s="37"/>
      <c r="JR22" s="37"/>
      <c r="JS22" s="37"/>
      <c r="JT22" s="37"/>
      <c r="JU22" s="37"/>
      <c r="JV22" s="37"/>
      <c r="JW22" s="37"/>
      <c r="JX22" s="37"/>
      <c r="JY22" s="37"/>
      <c r="JZ22" s="37"/>
      <c r="KA22" s="37"/>
      <c r="KB22" s="37"/>
    </row>
    <row r="23" spans="1:288" s="10" customFormat="1" ht="40.200000000000003" customHeight="1" x14ac:dyDescent="0.3">
      <c r="A23" s="3"/>
      <c r="B23" s="46" t="s">
        <v>71</v>
      </c>
      <c r="C23" s="26" t="s">
        <v>65</v>
      </c>
      <c r="D23" s="26" t="s">
        <v>24</v>
      </c>
      <c r="E23" s="27">
        <f t="shared" ca="1" si="12"/>
        <v>1</v>
      </c>
      <c r="F23" s="28">
        <f>Project_Start+14</f>
        <v>45970</v>
      </c>
      <c r="G23" s="29">
        <v>1</v>
      </c>
      <c r="H23" s="26"/>
      <c r="I23" s="37"/>
      <c r="J23" s="37"/>
      <c r="K23" s="37"/>
      <c r="L23" s="37"/>
      <c r="M23" s="37"/>
      <c r="N23" s="37"/>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K23" s="37"/>
      <c r="DL23" s="37"/>
      <c r="DM23" s="37"/>
      <c r="DN23" s="37"/>
      <c r="DO23" s="37"/>
      <c r="DP23" s="37"/>
      <c r="DQ23" s="37"/>
      <c r="DR23" s="37"/>
      <c r="DS23" s="37"/>
      <c r="DT23" s="37"/>
      <c r="DU23" s="37"/>
      <c r="DV23" s="37"/>
      <c r="DW23" s="37"/>
      <c r="DX23" s="37"/>
      <c r="DY23" s="37"/>
      <c r="DZ23" s="37"/>
      <c r="EA23" s="37"/>
      <c r="EB23" s="37"/>
      <c r="EC23" s="37"/>
      <c r="ED23" s="37"/>
      <c r="EE23" s="37"/>
      <c r="EF23" s="37"/>
      <c r="EG23" s="37"/>
      <c r="EH23" s="37"/>
      <c r="EI23" s="37"/>
      <c r="EJ23" s="37"/>
      <c r="EK23" s="37"/>
      <c r="EL23" s="37"/>
      <c r="EM23" s="37"/>
      <c r="EN23" s="37"/>
      <c r="EO23" s="37"/>
      <c r="EP23" s="37"/>
      <c r="EQ23" s="37"/>
      <c r="ER23" s="37"/>
      <c r="ES23" s="37"/>
      <c r="ET23" s="37"/>
      <c r="EU23" s="37"/>
      <c r="EV23" s="37"/>
      <c r="EW23" s="37"/>
      <c r="EX23" s="37"/>
      <c r="EY23" s="37"/>
      <c r="EZ23" s="37"/>
      <c r="FA23" s="37"/>
      <c r="FB23" s="37"/>
      <c r="FC23" s="37"/>
      <c r="FD23" s="37"/>
      <c r="FE23" s="37"/>
      <c r="FF23" s="37"/>
      <c r="FG23" s="37"/>
      <c r="FH23" s="37"/>
      <c r="FI23" s="37"/>
      <c r="FJ23" s="37"/>
      <c r="FK23" s="37"/>
      <c r="FL23" s="37"/>
      <c r="FM23" s="37"/>
      <c r="FN23" s="37"/>
      <c r="FO23" s="37"/>
      <c r="FP23" s="37"/>
      <c r="FQ23" s="37"/>
      <c r="FR23" s="37"/>
      <c r="FS23" s="37"/>
      <c r="FT23" s="37"/>
      <c r="FU23" s="37"/>
      <c r="FV23" s="37"/>
      <c r="FW23" s="37"/>
      <c r="FX23" s="37"/>
      <c r="FY23" s="37"/>
      <c r="FZ23" s="37"/>
      <c r="GA23" s="37"/>
      <c r="GB23" s="37"/>
      <c r="GC23" s="37"/>
      <c r="GD23" s="37"/>
      <c r="GE23" s="37"/>
      <c r="GF23" s="37"/>
      <c r="GG23" s="37"/>
      <c r="GH23" s="37"/>
      <c r="GI23" s="37"/>
      <c r="GJ23" s="37"/>
      <c r="GK23" s="37"/>
      <c r="GL23" s="37"/>
      <c r="GM23" s="37"/>
      <c r="GN23" s="37"/>
      <c r="GO23" s="37"/>
      <c r="GP23" s="37"/>
      <c r="GQ23" s="37"/>
      <c r="GR23" s="37"/>
      <c r="GS23" s="37"/>
      <c r="GT23" s="37"/>
      <c r="GU23" s="37"/>
      <c r="GV23" s="37"/>
      <c r="GW23" s="37"/>
      <c r="GX23" s="37"/>
      <c r="GY23" s="37"/>
      <c r="GZ23" s="37"/>
      <c r="HA23" s="37"/>
      <c r="HB23" s="37"/>
      <c r="HC23" s="37"/>
      <c r="HD23" s="37"/>
      <c r="HE23" s="37"/>
      <c r="HF23" s="37"/>
      <c r="HG23" s="37"/>
      <c r="HH23" s="37"/>
      <c r="HI23" s="37"/>
      <c r="HJ23" s="37"/>
      <c r="HK23" s="37"/>
      <c r="HL23" s="37"/>
      <c r="HM23" s="37"/>
      <c r="HN23" s="37"/>
      <c r="HO23" s="37"/>
      <c r="HP23" s="37"/>
      <c r="HQ23" s="37"/>
      <c r="HR23" s="37"/>
      <c r="HS23" s="37"/>
      <c r="HT23" s="37"/>
      <c r="HU23" s="37"/>
      <c r="HV23" s="37"/>
      <c r="HW23" s="37"/>
      <c r="HX23" s="37"/>
      <c r="HY23" s="37"/>
      <c r="HZ23" s="37"/>
      <c r="IA23" s="37"/>
      <c r="IB23" s="37"/>
      <c r="IC23" s="37"/>
      <c r="ID23" s="37"/>
      <c r="IE23" s="37"/>
      <c r="IF23" s="37"/>
      <c r="IG23" s="37"/>
      <c r="IH23" s="37"/>
      <c r="II23" s="37"/>
      <c r="IJ23" s="37"/>
      <c r="IK23" s="37"/>
      <c r="IL23" s="37"/>
      <c r="IM23" s="37"/>
      <c r="IN23" s="37"/>
      <c r="IO23" s="37"/>
      <c r="IP23" s="37"/>
      <c r="IQ23" s="37"/>
      <c r="IR23" s="37"/>
      <c r="IS23" s="37"/>
      <c r="IT23" s="37"/>
      <c r="IU23" s="37"/>
      <c r="IV23" s="37"/>
      <c r="IW23" s="37"/>
      <c r="IX23" s="37"/>
      <c r="IY23" s="37"/>
      <c r="IZ23" s="37"/>
      <c r="JA23" s="37"/>
      <c r="JB23" s="37"/>
      <c r="JC23" s="37"/>
      <c r="JD23" s="37"/>
      <c r="JE23" s="37"/>
      <c r="JF23" s="37"/>
      <c r="JG23" s="37"/>
      <c r="JH23" s="37"/>
      <c r="JI23" s="37"/>
      <c r="JJ23" s="37"/>
      <c r="JK23" s="37"/>
      <c r="JL23" s="37"/>
      <c r="JM23" s="37"/>
      <c r="JN23" s="37"/>
      <c r="JO23" s="37"/>
      <c r="JP23" s="37"/>
      <c r="JQ23" s="37"/>
      <c r="JR23" s="37"/>
      <c r="JS23" s="37"/>
      <c r="JT23" s="37"/>
      <c r="JU23" s="37"/>
      <c r="JV23" s="37"/>
      <c r="JW23" s="37"/>
      <c r="JX23" s="37"/>
      <c r="JY23" s="37"/>
      <c r="JZ23" s="37"/>
      <c r="KA23" s="37"/>
      <c r="KB23" s="37"/>
    </row>
    <row r="24" spans="1:288" s="10" customFormat="1" ht="40.200000000000003" customHeight="1" x14ac:dyDescent="0.3">
      <c r="A24" s="3"/>
      <c r="B24" s="46" t="s">
        <v>79</v>
      </c>
      <c r="C24" s="26" t="s">
        <v>62</v>
      </c>
      <c r="D24" s="26" t="s">
        <v>67</v>
      </c>
      <c r="E24" s="27">
        <f t="shared" ca="1" si="12"/>
        <v>0.8</v>
      </c>
      <c r="F24" s="28">
        <f>Project_Start+15</f>
        <v>45971</v>
      </c>
      <c r="G24" s="30">
        <v>5</v>
      </c>
      <c r="H24" s="26"/>
      <c r="I24" s="37"/>
      <c r="J24" s="37"/>
      <c r="K24" s="37"/>
      <c r="L24" s="37"/>
      <c r="M24" s="37"/>
      <c r="N24" s="37"/>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K24" s="37"/>
      <c r="DL24" s="37"/>
      <c r="DM24" s="37"/>
      <c r="DN24" s="37"/>
      <c r="DO24" s="37"/>
      <c r="DP24" s="37"/>
      <c r="DQ24" s="37"/>
      <c r="DR24" s="37"/>
      <c r="DS24" s="37"/>
      <c r="DT24" s="37"/>
      <c r="DU24" s="37"/>
      <c r="DV24" s="37"/>
      <c r="DW24" s="37"/>
      <c r="DX24" s="37"/>
      <c r="DY24" s="37"/>
      <c r="DZ24" s="37"/>
      <c r="EA24" s="37"/>
      <c r="EB24" s="37"/>
      <c r="EC24" s="37"/>
      <c r="ED24" s="37"/>
      <c r="EE24" s="37"/>
      <c r="EF24" s="37"/>
      <c r="EG24" s="37"/>
      <c r="EH24" s="37"/>
      <c r="EI24" s="37"/>
      <c r="EJ24" s="37"/>
      <c r="EK24" s="37"/>
      <c r="EL24" s="37"/>
      <c r="EM24" s="37"/>
      <c r="EN24" s="37"/>
      <c r="EO24" s="37"/>
      <c r="EP24" s="37"/>
      <c r="EQ24" s="37"/>
      <c r="ER24" s="37"/>
      <c r="ES24" s="37"/>
      <c r="ET24" s="37"/>
      <c r="EU24" s="37"/>
      <c r="EV24" s="37"/>
      <c r="EW24" s="37"/>
      <c r="EX24" s="37"/>
      <c r="EY24" s="37"/>
      <c r="EZ24" s="37"/>
      <c r="FA24" s="37"/>
      <c r="FB24" s="37"/>
      <c r="FC24" s="37"/>
      <c r="FD24" s="37"/>
      <c r="FE24" s="37"/>
      <c r="FF24" s="37"/>
      <c r="FG24" s="37"/>
      <c r="FH24" s="37"/>
      <c r="FI24" s="37"/>
      <c r="FJ24" s="37"/>
      <c r="FK24" s="37"/>
      <c r="FL24" s="37"/>
      <c r="FM24" s="37"/>
      <c r="FN24" s="37"/>
      <c r="FO24" s="37"/>
      <c r="FP24" s="37"/>
      <c r="FQ24" s="37"/>
      <c r="FR24" s="37"/>
      <c r="FS24" s="37"/>
      <c r="FT24" s="37"/>
      <c r="FU24" s="37"/>
      <c r="FV24" s="37"/>
      <c r="FW24" s="37"/>
      <c r="FX24" s="37"/>
      <c r="FY24" s="37"/>
      <c r="FZ24" s="37"/>
      <c r="GA24" s="37"/>
      <c r="GB24" s="37"/>
      <c r="GC24" s="37"/>
      <c r="GD24" s="37"/>
      <c r="GE24" s="37"/>
      <c r="GF24" s="37"/>
      <c r="GG24" s="37"/>
      <c r="GH24" s="37"/>
      <c r="GI24" s="37"/>
      <c r="GJ24" s="37"/>
      <c r="GK24" s="37"/>
      <c r="GL24" s="37"/>
      <c r="GM24" s="37"/>
      <c r="GN24" s="37"/>
      <c r="GO24" s="37"/>
      <c r="GP24" s="37"/>
      <c r="GQ24" s="37"/>
      <c r="GR24" s="37"/>
      <c r="GS24" s="37"/>
      <c r="GT24" s="37"/>
      <c r="GU24" s="37"/>
      <c r="GV24" s="37"/>
      <c r="GW24" s="37"/>
      <c r="GX24" s="37"/>
      <c r="GY24" s="37"/>
      <c r="GZ24" s="37"/>
      <c r="HA24" s="37"/>
      <c r="HB24" s="37"/>
      <c r="HC24" s="37"/>
      <c r="HD24" s="37"/>
      <c r="HE24" s="37"/>
      <c r="HF24" s="37"/>
      <c r="HG24" s="37"/>
      <c r="HH24" s="37"/>
      <c r="HI24" s="37"/>
      <c r="HJ24" s="37"/>
      <c r="HK24" s="37"/>
      <c r="HL24" s="37"/>
      <c r="HM24" s="37"/>
      <c r="HN24" s="37"/>
      <c r="HO24" s="37"/>
      <c r="HP24" s="37"/>
      <c r="HQ24" s="37"/>
      <c r="HR24" s="37"/>
      <c r="HS24" s="37"/>
      <c r="HT24" s="37"/>
      <c r="HU24" s="37"/>
      <c r="HV24" s="37"/>
      <c r="HW24" s="37"/>
      <c r="HX24" s="37"/>
      <c r="HY24" s="37"/>
      <c r="HZ24" s="37"/>
      <c r="IA24" s="37"/>
      <c r="IB24" s="37"/>
      <c r="IC24" s="37"/>
      <c r="ID24" s="37"/>
      <c r="IE24" s="37"/>
      <c r="IF24" s="37"/>
      <c r="IG24" s="37"/>
      <c r="IH24" s="37"/>
      <c r="II24" s="37"/>
      <c r="IJ24" s="37"/>
      <c r="IK24" s="37"/>
      <c r="IL24" s="37"/>
      <c r="IM24" s="37"/>
      <c r="IN24" s="37"/>
      <c r="IO24" s="37"/>
      <c r="IP24" s="37"/>
      <c r="IQ24" s="37"/>
      <c r="IR24" s="37"/>
      <c r="IS24" s="37"/>
      <c r="IT24" s="37"/>
      <c r="IU24" s="37"/>
      <c r="IV24" s="37"/>
      <c r="IW24" s="37"/>
      <c r="IX24" s="37"/>
      <c r="IY24" s="37"/>
      <c r="IZ24" s="37"/>
      <c r="JA24" s="37"/>
      <c r="JB24" s="37"/>
      <c r="JC24" s="37"/>
      <c r="JD24" s="37"/>
      <c r="JE24" s="37"/>
      <c r="JF24" s="37"/>
      <c r="JG24" s="37"/>
      <c r="JH24" s="37"/>
      <c r="JI24" s="37"/>
      <c r="JJ24" s="37"/>
      <c r="JK24" s="37"/>
      <c r="JL24" s="37"/>
      <c r="JM24" s="37"/>
      <c r="JN24" s="37"/>
      <c r="JO24" s="37"/>
      <c r="JP24" s="37"/>
      <c r="JQ24" s="37"/>
      <c r="JR24" s="37"/>
      <c r="JS24" s="37"/>
      <c r="JT24" s="37"/>
      <c r="JU24" s="37"/>
      <c r="JV24" s="37"/>
      <c r="JW24" s="37"/>
      <c r="JX24" s="37"/>
      <c r="JY24" s="37"/>
      <c r="JZ24" s="37"/>
      <c r="KA24" s="37"/>
      <c r="KB24" s="37"/>
    </row>
    <row r="25" spans="1:288" s="10" customFormat="1" ht="40.200000000000003" customHeight="1" x14ac:dyDescent="0.3">
      <c r="A25" s="3"/>
      <c r="B25" s="46" t="s">
        <v>98</v>
      </c>
      <c r="C25" s="26" t="s">
        <v>63</v>
      </c>
      <c r="D25" s="26" t="s">
        <v>24</v>
      </c>
      <c r="E25" s="27">
        <f ca="1">MIN(1, MAX(0, (TODAY() - F25 + 1) / G25))</f>
        <v>0.15</v>
      </c>
      <c r="F25" s="28">
        <f>F24+1</f>
        <v>45972</v>
      </c>
      <c r="G25" s="30">
        <v>20</v>
      </c>
      <c r="H25" s="26"/>
      <c r="I25" s="37"/>
      <c r="J25" s="37"/>
      <c r="K25" s="37"/>
      <c r="L25" s="37"/>
      <c r="M25" s="37"/>
      <c r="N25" s="37"/>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K25" s="37"/>
      <c r="DL25" s="37"/>
      <c r="DM25" s="37"/>
      <c r="DN25" s="37"/>
      <c r="DO25" s="37"/>
      <c r="DP25" s="37"/>
      <c r="DQ25" s="37"/>
      <c r="DR25" s="37"/>
      <c r="DS25" s="37"/>
      <c r="DT25" s="37"/>
      <c r="DU25" s="37"/>
      <c r="DV25" s="37"/>
      <c r="DW25" s="37"/>
      <c r="DX25" s="37"/>
      <c r="DY25" s="37"/>
      <c r="DZ25" s="37"/>
      <c r="EA25" s="37"/>
      <c r="EB25" s="37"/>
      <c r="EC25" s="37"/>
      <c r="ED25" s="37"/>
      <c r="EE25" s="37"/>
      <c r="EF25" s="37"/>
      <c r="EG25" s="37"/>
      <c r="EH25" s="37"/>
      <c r="EI25" s="37"/>
      <c r="EJ25" s="37"/>
      <c r="EK25" s="37"/>
      <c r="EL25" s="37"/>
      <c r="EM25" s="37"/>
      <c r="EN25" s="37"/>
      <c r="EO25" s="37"/>
      <c r="EP25" s="37"/>
      <c r="EQ25" s="37"/>
      <c r="ER25" s="37"/>
      <c r="ES25" s="37"/>
      <c r="ET25" s="37"/>
      <c r="EU25" s="37"/>
      <c r="EV25" s="37"/>
      <c r="EW25" s="37"/>
      <c r="EX25" s="37"/>
      <c r="EY25" s="37"/>
      <c r="EZ25" s="37"/>
      <c r="FA25" s="37"/>
      <c r="FB25" s="37"/>
      <c r="FC25" s="37"/>
      <c r="FD25" s="37"/>
      <c r="FE25" s="37"/>
      <c r="FF25" s="37"/>
      <c r="FG25" s="37"/>
      <c r="FH25" s="37"/>
      <c r="FI25" s="37"/>
      <c r="FJ25" s="37"/>
      <c r="FK25" s="37"/>
      <c r="FL25" s="37"/>
      <c r="FM25" s="37"/>
      <c r="FN25" s="37"/>
      <c r="FO25" s="37"/>
      <c r="FP25" s="37"/>
      <c r="FQ25" s="37"/>
      <c r="FR25" s="37"/>
      <c r="FS25" s="37"/>
      <c r="FT25" s="37"/>
      <c r="FU25" s="37"/>
      <c r="FV25" s="37"/>
      <c r="FW25" s="37"/>
      <c r="FX25" s="37"/>
      <c r="FY25" s="37"/>
      <c r="FZ25" s="37"/>
      <c r="GA25" s="37"/>
      <c r="GB25" s="37"/>
      <c r="GC25" s="37"/>
      <c r="GD25" s="37"/>
      <c r="GE25" s="37"/>
      <c r="GF25" s="37"/>
      <c r="GG25" s="37"/>
      <c r="GH25" s="37"/>
      <c r="GI25" s="37"/>
      <c r="GJ25" s="37"/>
      <c r="GK25" s="37"/>
      <c r="GL25" s="37"/>
      <c r="GM25" s="37"/>
      <c r="GN25" s="37"/>
      <c r="GO25" s="37"/>
      <c r="GP25" s="37"/>
      <c r="GQ25" s="37"/>
      <c r="GR25" s="37"/>
      <c r="GS25" s="37"/>
      <c r="GT25" s="37"/>
      <c r="GU25" s="37"/>
      <c r="GV25" s="37"/>
      <c r="GW25" s="37"/>
      <c r="GX25" s="37"/>
      <c r="GY25" s="37"/>
      <c r="GZ25" s="37"/>
      <c r="HA25" s="37"/>
      <c r="HB25" s="37"/>
      <c r="HC25" s="37"/>
      <c r="HD25" s="37"/>
      <c r="HE25" s="37"/>
      <c r="HF25" s="37"/>
      <c r="HG25" s="37"/>
      <c r="HH25" s="37"/>
      <c r="HI25" s="37"/>
      <c r="HJ25" s="37"/>
      <c r="HK25" s="37"/>
      <c r="HL25" s="37"/>
      <c r="HM25" s="37"/>
      <c r="HN25" s="37"/>
      <c r="HO25" s="37"/>
      <c r="HP25" s="37"/>
      <c r="HQ25" s="37"/>
      <c r="HR25" s="37"/>
      <c r="HS25" s="37"/>
      <c r="HT25" s="37"/>
      <c r="HU25" s="37"/>
      <c r="HV25" s="37"/>
      <c r="HW25" s="37"/>
      <c r="HX25" s="37"/>
      <c r="HY25" s="37"/>
      <c r="HZ25" s="37"/>
      <c r="IA25" s="37"/>
      <c r="IB25" s="37"/>
      <c r="IC25" s="37"/>
      <c r="ID25" s="37"/>
      <c r="IE25" s="37"/>
      <c r="IF25" s="37"/>
      <c r="IG25" s="37"/>
      <c r="IH25" s="37"/>
      <c r="II25" s="37"/>
      <c r="IJ25" s="37"/>
      <c r="IK25" s="37"/>
      <c r="IL25" s="37"/>
      <c r="IM25" s="37"/>
      <c r="IN25" s="37"/>
      <c r="IO25" s="37"/>
      <c r="IP25" s="37"/>
      <c r="IQ25" s="37"/>
      <c r="IR25" s="37"/>
      <c r="IS25" s="37"/>
      <c r="IT25" s="37"/>
      <c r="IU25" s="37"/>
      <c r="IV25" s="37"/>
      <c r="IW25" s="37"/>
      <c r="IX25" s="37"/>
      <c r="IY25" s="37"/>
      <c r="IZ25" s="37"/>
      <c r="JA25" s="37"/>
      <c r="JB25" s="37"/>
      <c r="JC25" s="37"/>
      <c r="JD25" s="37"/>
      <c r="JE25" s="37"/>
      <c r="JF25" s="37"/>
      <c r="JG25" s="37"/>
      <c r="JH25" s="37"/>
      <c r="JI25" s="37"/>
      <c r="JJ25" s="37"/>
      <c r="JK25" s="37"/>
      <c r="JL25" s="37"/>
      <c r="JM25" s="37"/>
      <c r="JN25" s="37"/>
      <c r="JO25" s="37"/>
      <c r="JP25" s="37"/>
      <c r="JQ25" s="37"/>
      <c r="JR25" s="37"/>
      <c r="JS25" s="37"/>
      <c r="JT25" s="37"/>
      <c r="JU25" s="37"/>
      <c r="JV25" s="37"/>
      <c r="JW25" s="37"/>
      <c r="JX25" s="37"/>
      <c r="JY25" s="37"/>
      <c r="JZ25" s="37"/>
      <c r="KA25" s="37"/>
      <c r="KB25" s="37"/>
    </row>
    <row r="26" spans="1:288" s="10" customFormat="1" ht="40.200000000000003" customHeight="1" x14ac:dyDescent="0.3">
      <c r="A26" s="3"/>
      <c r="B26" s="46" t="s">
        <v>99</v>
      </c>
      <c r="C26" s="26" t="s">
        <v>63</v>
      </c>
      <c r="D26" s="26" t="s">
        <v>24</v>
      </c>
      <c r="E26" s="27">
        <f t="shared" ref="E26:E29" ca="1" si="13">MIN(1, MAX(0, (TODAY() - F26 + 1) / G26))</f>
        <v>0.21052631578947367</v>
      </c>
      <c r="F26" s="28">
        <f>F23+1</f>
        <v>45971</v>
      </c>
      <c r="G26" s="30">
        <v>19</v>
      </c>
      <c r="H26" s="26"/>
      <c r="I26" s="37"/>
      <c r="J26" s="37"/>
      <c r="K26" s="37"/>
      <c r="L26" s="37"/>
      <c r="M26" s="37"/>
      <c r="N26" s="37"/>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K26" s="37"/>
      <c r="DL26" s="37"/>
      <c r="DM26" s="37"/>
      <c r="DN26" s="37"/>
      <c r="DO26" s="37"/>
      <c r="DP26" s="37"/>
      <c r="DQ26" s="37"/>
      <c r="DR26" s="37"/>
      <c r="DS26" s="37"/>
      <c r="DT26" s="37"/>
      <c r="DU26" s="37"/>
      <c r="DV26" s="37"/>
      <c r="DW26" s="37"/>
      <c r="DX26" s="37"/>
      <c r="DY26" s="37"/>
      <c r="DZ26" s="37"/>
      <c r="EA26" s="37"/>
      <c r="EB26" s="37"/>
      <c r="EC26" s="37"/>
      <c r="ED26" s="37"/>
      <c r="EE26" s="37"/>
      <c r="EF26" s="37"/>
      <c r="EG26" s="37"/>
      <c r="EH26" s="37"/>
      <c r="EI26" s="37"/>
      <c r="EJ26" s="37"/>
      <c r="EK26" s="37"/>
      <c r="EL26" s="37"/>
      <c r="EM26" s="37"/>
      <c r="EN26" s="37"/>
      <c r="EO26" s="37"/>
      <c r="EP26" s="37"/>
      <c r="EQ26" s="37"/>
      <c r="ER26" s="37"/>
      <c r="ES26" s="37"/>
      <c r="ET26" s="37"/>
      <c r="EU26" s="37"/>
      <c r="EV26" s="37"/>
      <c r="EW26" s="37"/>
      <c r="EX26" s="37"/>
      <c r="EY26" s="37"/>
      <c r="EZ26" s="37"/>
      <c r="FA26" s="37"/>
      <c r="FB26" s="37"/>
      <c r="FC26" s="37"/>
      <c r="FD26" s="37"/>
      <c r="FE26" s="37"/>
      <c r="FF26" s="37"/>
      <c r="FG26" s="37"/>
      <c r="FH26" s="37"/>
      <c r="FI26" s="37"/>
      <c r="FJ26" s="37"/>
      <c r="FK26" s="37"/>
      <c r="FL26" s="37"/>
      <c r="FM26" s="37"/>
      <c r="FN26" s="37"/>
      <c r="FO26" s="37"/>
      <c r="FP26" s="37"/>
      <c r="FQ26" s="37"/>
      <c r="FR26" s="37"/>
      <c r="FS26" s="37"/>
      <c r="FT26" s="37"/>
      <c r="FU26" s="37"/>
      <c r="FV26" s="37"/>
      <c r="FW26" s="37"/>
      <c r="FX26" s="37"/>
      <c r="FY26" s="37"/>
      <c r="FZ26" s="37"/>
      <c r="GA26" s="37"/>
      <c r="GB26" s="37"/>
      <c r="GC26" s="37"/>
      <c r="GD26" s="37"/>
      <c r="GE26" s="37"/>
      <c r="GF26" s="37"/>
      <c r="GG26" s="37"/>
      <c r="GH26" s="37"/>
      <c r="GI26" s="37"/>
      <c r="GJ26" s="37"/>
      <c r="GK26" s="37"/>
      <c r="GL26" s="37"/>
      <c r="GM26" s="37"/>
      <c r="GN26" s="37"/>
      <c r="GO26" s="37"/>
      <c r="GP26" s="37"/>
      <c r="GQ26" s="37"/>
      <c r="GR26" s="37"/>
      <c r="GS26" s="37"/>
      <c r="GT26" s="37"/>
      <c r="GU26" s="37"/>
      <c r="GV26" s="37"/>
      <c r="GW26" s="37"/>
      <c r="GX26" s="37"/>
      <c r="GY26" s="37"/>
      <c r="GZ26" s="37"/>
      <c r="HA26" s="37"/>
      <c r="HB26" s="37"/>
      <c r="HC26" s="37"/>
      <c r="HD26" s="37"/>
      <c r="HE26" s="37"/>
      <c r="HF26" s="37"/>
      <c r="HG26" s="37"/>
      <c r="HH26" s="37"/>
      <c r="HI26" s="37"/>
      <c r="HJ26" s="37"/>
      <c r="HK26" s="37"/>
      <c r="HL26" s="37"/>
      <c r="HM26" s="37"/>
      <c r="HN26" s="37"/>
      <c r="HO26" s="37"/>
      <c r="HP26" s="37"/>
      <c r="HQ26" s="37"/>
      <c r="HR26" s="37"/>
      <c r="HS26" s="37"/>
      <c r="HT26" s="37"/>
      <c r="HU26" s="37"/>
      <c r="HV26" s="37"/>
      <c r="HW26" s="37"/>
      <c r="HX26" s="37"/>
      <c r="HY26" s="37"/>
      <c r="HZ26" s="37"/>
      <c r="IA26" s="37"/>
      <c r="IB26" s="37"/>
      <c r="IC26" s="37"/>
      <c r="ID26" s="37"/>
      <c r="IE26" s="37"/>
      <c r="IF26" s="37"/>
      <c r="IG26" s="37"/>
      <c r="IH26" s="37"/>
      <c r="II26" s="37"/>
      <c r="IJ26" s="37"/>
      <c r="IK26" s="37"/>
      <c r="IL26" s="37"/>
      <c r="IM26" s="37"/>
      <c r="IN26" s="37"/>
      <c r="IO26" s="37"/>
      <c r="IP26" s="37"/>
      <c r="IQ26" s="37"/>
      <c r="IR26" s="37"/>
      <c r="IS26" s="37"/>
      <c r="IT26" s="37"/>
      <c r="IU26" s="37"/>
      <c r="IV26" s="37"/>
      <c r="IW26" s="37"/>
      <c r="IX26" s="37"/>
      <c r="IY26" s="37"/>
      <c r="IZ26" s="37"/>
      <c r="JA26" s="37"/>
      <c r="JB26" s="37"/>
      <c r="JC26" s="37"/>
      <c r="JD26" s="37"/>
      <c r="JE26" s="37"/>
      <c r="JF26" s="37"/>
      <c r="JG26" s="37"/>
      <c r="JH26" s="37"/>
      <c r="JI26" s="37"/>
      <c r="JJ26" s="37"/>
      <c r="JK26" s="37"/>
      <c r="JL26" s="37"/>
      <c r="JM26" s="37"/>
      <c r="JN26" s="37"/>
      <c r="JO26" s="37"/>
      <c r="JP26" s="37"/>
      <c r="JQ26" s="37"/>
      <c r="JR26" s="37"/>
      <c r="JS26" s="37"/>
      <c r="JT26" s="37"/>
      <c r="JU26" s="37"/>
      <c r="JV26" s="37"/>
      <c r="JW26" s="37"/>
      <c r="JX26" s="37"/>
      <c r="JY26" s="37"/>
      <c r="JZ26" s="37"/>
      <c r="KA26" s="37"/>
      <c r="KB26" s="37"/>
    </row>
    <row r="27" spans="1:288" s="10" customFormat="1" ht="40.200000000000003" customHeight="1" x14ac:dyDescent="0.3">
      <c r="A27" s="3"/>
      <c r="B27" s="46" t="s">
        <v>85</v>
      </c>
      <c r="C27" s="26" t="s">
        <v>64</v>
      </c>
      <c r="D27" s="26" t="s">
        <v>24</v>
      </c>
      <c r="E27" s="27">
        <f ca="1">MIN(1, MAX(0, (TODAY() - F27 + 1) / G27))</f>
        <v>0</v>
      </c>
      <c r="F27" s="28">
        <f>Project_Start+29</f>
        <v>45985</v>
      </c>
      <c r="G27" s="29">
        <v>1</v>
      </c>
      <c r="H27" s="26"/>
      <c r="I27" s="37"/>
      <c r="J27" s="37"/>
      <c r="K27" s="37"/>
      <c r="L27" s="37"/>
      <c r="M27" s="37"/>
      <c r="N27" s="37"/>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K27" s="37"/>
      <c r="DL27" s="37"/>
      <c r="DM27" s="37"/>
      <c r="DN27" s="37"/>
      <c r="DO27" s="37"/>
      <c r="DP27" s="37"/>
      <c r="DQ27" s="37"/>
      <c r="DR27" s="37"/>
      <c r="DS27" s="37"/>
      <c r="DT27" s="37"/>
      <c r="DU27" s="37"/>
      <c r="DV27" s="37"/>
      <c r="DW27" s="37"/>
      <c r="DX27" s="37"/>
      <c r="DY27" s="37"/>
      <c r="DZ27" s="37"/>
      <c r="EA27" s="37"/>
      <c r="EB27" s="37"/>
      <c r="EC27" s="37"/>
      <c r="ED27" s="37"/>
      <c r="EE27" s="37"/>
      <c r="EF27" s="37"/>
      <c r="EG27" s="37"/>
      <c r="EH27" s="37"/>
      <c r="EI27" s="37"/>
      <c r="EJ27" s="37"/>
      <c r="EK27" s="37"/>
      <c r="EL27" s="37"/>
      <c r="EM27" s="37"/>
      <c r="EN27" s="37"/>
      <c r="EO27" s="37"/>
      <c r="EP27" s="37"/>
      <c r="EQ27" s="37"/>
      <c r="ER27" s="37"/>
      <c r="ES27" s="37"/>
      <c r="ET27" s="37"/>
      <c r="EU27" s="37"/>
      <c r="EV27" s="37"/>
      <c r="EW27" s="37"/>
      <c r="EX27" s="37"/>
      <c r="EY27" s="37"/>
      <c r="EZ27" s="37"/>
      <c r="FA27" s="37"/>
      <c r="FB27" s="37"/>
      <c r="FC27" s="37"/>
      <c r="FD27" s="37"/>
      <c r="FE27" s="37"/>
      <c r="FF27" s="37"/>
      <c r="FG27" s="37"/>
      <c r="FH27" s="37"/>
      <c r="FI27" s="37"/>
      <c r="FJ27" s="37"/>
      <c r="FK27" s="37"/>
      <c r="FL27" s="37"/>
      <c r="FM27" s="37"/>
      <c r="FN27" s="37"/>
      <c r="FO27" s="37"/>
      <c r="FP27" s="37"/>
      <c r="FQ27" s="37"/>
      <c r="FR27" s="37"/>
      <c r="FS27" s="37"/>
      <c r="FT27" s="37"/>
      <c r="FU27" s="37"/>
      <c r="FV27" s="37"/>
      <c r="FW27" s="37"/>
      <c r="FX27" s="37"/>
      <c r="FY27" s="37"/>
      <c r="FZ27" s="37"/>
      <c r="GA27" s="37"/>
      <c r="GB27" s="37"/>
      <c r="GC27" s="37"/>
      <c r="GD27" s="37"/>
      <c r="GE27" s="37"/>
      <c r="GF27" s="37"/>
      <c r="GG27" s="37"/>
      <c r="GH27" s="37"/>
      <c r="GI27" s="37"/>
      <c r="GJ27" s="37"/>
      <c r="GK27" s="37"/>
      <c r="GL27" s="37"/>
      <c r="GM27" s="37"/>
      <c r="GN27" s="37"/>
      <c r="GO27" s="37"/>
      <c r="GP27" s="37"/>
      <c r="GQ27" s="37"/>
      <c r="GR27" s="37"/>
      <c r="GS27" s="37"/>
      <c r="GT27" s="37"/>
      <c r="GU27" s="37"/>
      <c r="GV27" s="37"/>
      <c r="GW27" s="37"/>
      <c r="GX27" s="37"/>
      <c r="GY27" s="37"/>
      <c r="GZ27" s="37"/>
      <c r="HA27" s="37"/>
      <c r="HB27" s="37"/>
      <c r="HC27" s="37"/>
      <c r="HD27" s="37"/>
      <c r="HE27" s="37"/>
      <c r="HF27" s="37"/>
      <c r="HG27" s="37"/>
      <c r="HH27" s="37"/>
      <c r="HI27" s="37"/>
      <c r="HJ27" s="37"/>
      <c r="HK27" s="37"/>
      <c r="HL27" s="37"/>
      <c r="HM27" s="37"/>
      <c r="HN27" s="37"/>
      <c r="HO27" s="37"/>
      <c r="HP27" s="37"/>
      <c r="HQ27" s="37"/>
      <c r="HR27" s="37"/>
      <c r="HS27" s="37"/>
      <c r="HT27" s="37"/>
      <c r="HU27" s="37"/>
      <c r="HV27" s="37"/>
      <c r="HW27" s="37"/>
      <c r="HX27" s="37"/>
      <c r="HY27" s="37"/>
      <c r="HZ27" s="37"/>
      <c r="IA27" s="37"/>
      <c r="IB27" s="37"/>
      <c r="IC27" s="37"/>
      <c r="ID27" s="37"/>
      <c r="IE27" s="37"/>
      <c r="IF27" s="37"/>
      <c r="IG27" s="37"/>
      <c r="IH27" s="37"/>
      <c r="II27" s="37"/>
      <c r="IJ27" s="37"/>
      <c r="IK27" s="37"/>
      <c r="IL27" s="37"/>
      <c r="IM27" s="37"/>
      <c r="IN27" s="37"/>
      <c r="IO27" s="37"/>
      <c r="IP27" s="37"/>
      <c r="IQ27" s="37"/>
      <c r="IR27" s="37"/>
      <c r="IS27" s="37"/>
      <c r="IT27" s="37"/>
      <c r="IU27" s="37"/>
      <c r="IV27" s="37"/>
      <c r="IW27" s="37"/>
      <c r="IX27" s="37"/>
      <c r="IY27" s="37"/>
      <c r="IZ27" s="37"/>
      <c r="JA27" s="37"/>
      <c r="JB27" s="37"/>
      <c r="JC27" s="37"/>
      <c r="JD27" s="37"/>
      <c r="JE27" s="37"/>
      <c r="JF27" s="37"/>
      <c r="JG27" s="37"/>
      <c r="JH27" s="37"/>
      <c r="JI27" s="37"/>
      <c r="JJ27" s="37"/>
      <c r="JK27" s="37"/>
      <c r="JL27" s="37"/>
      <c r="JM27" s="37"/>
      <c r="JN27" s="37"/>
      <c r="JO27" s="37"/>
      <c r="JP27" s="37"/>
      <c r="JQ27" s="37"/>
      <c r="JR27" s="37"/>
      <c r="JS27" s="37"/>
      <c r="JT27" s="37"/>
      <c r="JU27" s="37"/>
      <c r="JV27" s="37"/>
      <c r="JW27" s="37"/>
      <c r="JX27" s="37"/>
      <c r="JY27" s="37"/>
      <c r="JZ27" s="37"/>
      <c r="KA27" s="37"/>
      <c r="KB27" s="37"/>
    </row>
    <row r="28" spans="1:288" s="10" customFormat="1" ht="40.200000000000003" customHeight="1" x14ac:dyDescent="0.3">
      <c r="A28" s="3"/>
      <c r="B28" s="46" t="s">
        <v>80</v>
      </c>
      <c r="C28" s="26" t="s">
        <v>62</v>
      </c>
      <c r="D28" s="26" t="s">
        <v>67</v>
      </c>
      <c r="E28" s="27">
        <f ca="1">MIN(1, MAX(0, (TODAY() - F28 + 1) / G28))</f>
        <v>0</v>
      </c>
      <c r="F28" s="28">
        <f>F19+G19</f>
        <v>45986</v>
      </c>
      <c r="G28" s="29">
        <v>14</v>
      </c>
      <c r="H28" s="26"/>
      <c r="I28" s="37"/>
      <c r="J28" s="37"/>
      <c r="K28" s="37"/>
      <c r="L28" s="37"/>
      <c r="M28" s="37"/>
      <c r="N28" s="37"/>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K28" s="37"/>
      <c r="DL28" s="37"/>
      <c r="DM28" s="37"/>
      <c r="DN28" s="37"/>
      <c r="DO28" s="37"/>
      <c r="DP28" s="37"/>
      <c r="DQ28" s="37"/>
      <c r="DR28" s="37"/>
      <c r="DS28" s="37"/>
      <c r="DT28" s="37"/>
      <c r="DU28" s="37"/>
      <c r="DV28" s="37"/>
      <c r="DW28" s="37"/>
      <c r="DX28" s="37"/>
      <c r="DY28" s="37"/>
      <c r="DZ28" s="37"/>
      <c r="EA28" s="37"/>
      <c r="EB28" s="37"/>
      <c r="EC28" s="37"/>
      <c r="ED28" s="37"/>
      <c r="EE28" s="37"/>
      <c r="EF28" s="37"/>
      <c r="EG28" s="37"/>
      <c r="EH28" s="37"/>
      <c r="EI28" s="37"/>
      <c r="EJ28" s="37"/>
      <c r="EK28" s="37"/>
      <c r="EL28" s="37"/>
      <c r="EM28" s="37"/>
      <c r="EN28" s="37"/>
      <c r="EO28" s="37"/>
      <c r="EP28" s="37"/>
      <c r="EQ28" s="37"/>
      <c r="ER28" s="37"/>
      <c r="ES28" s="37"/>
      <c r="ET28" s="37"/>
      <c r="EU28" s="37"/>
      <c r="EV28" s="37"/>
      <c r="EW28" s="37"/>
      <c r="EX28" s="37"/>
      <c r="EY28" s="37"/>
      <c r="EZ28" s="37"/>
      <c r="FA28" s="37"/>
      <c r="FB28" s="37"/>
      <c r="FC28" s="37"/>
      <c r="FD28" s="37"/>
      <c r="FE28" s="37"/>
      <c r="FF28" s="37"/>
      <c r="FG28" s="37"/>
      <c r="FH28" s="37"/>
      <c r="FI28" s="37"/>
      <c r="FJ28" s="37"/>
      <c r="FK28" s="37"/>
      <c r="FL28" s="37"/>
      <c r="FM28" s="37"/>
      <c r="FN28" s="37"/>
      <c r="FO28" s="37"/>
      <c r="FP28" s="37"/>
      <c r="FQ28" s="37"/>
      <c r="FR28" s="37"/>
      <c r="FS28" s="37"/>
      <c r="FT28" s="37"/>
      <c r="FU28" s="37"/>
      <c r="FV28" s="37"/>
      <c r="FW28" s="37"/>
      <c r="FX28" s="37"/>
      <c r="FY28" s="37"/>
      <c r="FZ28" s="37"/>
      <c r="GA28" s="37"/>
      <c r="GB28" s="37"/>
      <c r="GC28" s="37"/>
      <c r="GD28" s="37"/>
      <c r="GE28" s="37"/>
      <c r="GF28" s="37"/>
      <c r="GG28" s="37"/>
      <c r="GH28" s="37"/>
      <c r="GI28" s="37"/>
      <c r="GJ28" s="37"/>
      <c r="GK28" s="37"/>
      <c r="GL28" s="37"/>
      <c r="GM28" s="37"/>
      <c r="GN28" s="37"/>
      <c r="GO28" s="37"/>
      <c r="GP28" s="37"/>
      <c r="GQ28" s="37"/>
      <c r="GR28" s="37"/>
      <c r="GS28" s="37"/>
      <c r="GT28" s="37"/>
      <c r="GU28" s="37"/>
      <c r="GV28" s="37"/>
      <c r="GW28" s="37"/>
      <c r="GX28" s="37"/>
      <c r="GY28" s="37"/>
      <c r="GZ28" s="37"/>
      <c r="HA28" s="37"/>
      <c r="HB28" s="37"/>
      <c r="HC28" s="37"/>
      <c r="HD28" s="37"/>
      <c r="HE28" s="37"/>
      <c r="HF28" s="37"/>
      <c r="HG28" s="37"/>
      <c r="HH28" s="37"/>
      <c r="HI28" s="37"/>
      <c r="HJ28" s="37"/>
      <c r="HK28" s="37"/>
      <c r="HL28" s="37"/>
      <c r="HM28" s="37"/>
      <c r="HN28" s="37"/>
      <c r="HO28" s="37"/>
      <c r="HP28" s="37"/>
      <c r="HQ28" s="37"/>
      <c r="HR28" s="37"/>
      <c r="HS28" s="37"/>
      <c r="HT28" s="37"/>
      <c r="HU28" s="37"/>
      <c r="HV28" s="37"/>
      <c r="HW28" s="37"/>
      <c r="HX28" s="37"/>
      <c r="HY28" s="37"/>
      <c r="HZ28" s="37"/>
      <c r="IA28" s="37"/>
      <c r="IB28" s="37"/>
      <c r="IC28" s="37"/>
      <c r="ID28" s="37"/>
      <c r="IE28" s="37"/>
      <c r="IF28" s="37"/>
      <c r="IG28" s="37"/>
      <c r="IH28" s="37"/>
      <c r="II28" s="37"/>
      <c r="IJ28" s="37"/>
      <c r="IK28" s="37"/>
      <c r="IL28" s="37"/>
      <c r="IM28" s="37"/>
      <c r="IN28" s="37"/>
      <c r="IO28" s="37"/>
      <c r="IP28" s="37"/>
      <c r="IQ28" s="37"/>
      <c r="IR28" s="37"/>
      <c r="IS28" s="37"/>
      <c r="IT28" s="37"/>
      <c r="IU28" s="37"/>
      <c r="IV28" s="37"/>
      <c r="IW28" s="37"/>
      <c r="IX28" s="37"/>
      <c r="IY28" s="37"/>
      <c r="IZ28" s="37"/>
      <c r="JA28" s="37"/>
      <c r="JB28" s="37"/>
      <c r="JC28" s="37"/>
      <c r="JD28" s="37"/>
      <c r="JE28" s="37"/>
      <c r="JF28" s="37"/>
      <c r="JG28" s="37"/>
      <c r="JH28" s="37"/>
      <c r="JI28" s="37"/>
      <c r="JJ28" s="37"/>
      <c r="JK28" s="37"/>
      <c r="JL28" s="37"/>
      <c r="JM28" s="37"/>
      <c r="JN28" s="37"/>
      <c r="JO28" s="37"/>
      <c r="JP28" s="37"/>
      <c r="JQ28" s="37"/>
      <c r="JR28" s="37"/>
      <c r="JS28" s="37"/>
      <c r="JT28" s="37"/>
      <c r="JU28" s="37"/>
      <c r="JV28" s="37"/>
      <c r="JW28" s="37"/>
      <c r="JX28" s="37"/>
      <c r="JY28" s="37"/>
      <c r="JZ28" s="37"/>
      <c r="KA28" s="37"/>
      <c r="KB28" s="37"/>
    </row>
    <row r="29" spans="1:288" s="10" customFormat="1" ht="40.200000000000003" customHeight="1" x14ac:dyDescent="0.3">
      <c r="A29" s="3"/>
      <c r="B29" s="46" t="s">
        <v>100</v>
      </c>
      <c r="C29" s="26" t="s">
        <v>65</v>
      </c>
      <c r="D29" s="26" t="s">
        <v>67</v>
      </c>
      <c r="E29" s="27">
        <f t="shared" ca="1" si="13"/>
        <v>0</v>
      </c>
      <c r="F29" s="28">
        <f>F26+G26+1</f>
        <v>45991</v>
      </c>
      <c r="G29" s="30">
        <v>1</v>
      </c>
      <c r="H29" s="26"/>
      <c r="I29" s="37"/>
      <c r="J29" s="37"/>
      <c r="K29" s="37"/>
      <c r="L29" s="37"/>
      <c r="M29" s="37"/>
      <c r="N29" s="37"/>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K29" s="37"/>
      <c r="DL29" s="37"/>
      <c r="DM29" s="37"/>
      <c r="DN29" s="37"/>
      <c r="DO29" s="37"/>
      <c r="DP29" s="37"/>
      <c r="DQ29" s="37"/>
      <c r="DR29" s="37"/>
      <c r="DS29" s="37"/>
      <c r="DT29" s="37"/>
      <c r="DU29" s="37"/>
      <c r="DV29" s="37"/>
      <c r="DW29" s="37"/>
      <c r="DX29" s="37"/>
      <c r="DY29" s="37"/>
      <c r="DZ29" s="37"/>
      <c r="EA29" s="37"/>
      <c r="EB29" s="37"/>
      <c r="EC29" s="37"/>
      <c r="ED29" s="37"/>
      <c r="EE29" s="37"/>
      <c r="EF29" s="37"/>
      <c r="EG29" s="37"/>
      <c r="EH29" s="37"/>
      <c r="EI29" s="37"/>
      <c r="EJ29" s="37"/>
      <c r="EK29" s="37"/>
      <c r="EL29" s="37"/>
      <c r="EM29" s="37"/>
      <c r="EN29" s="37"/>
      <c r="EO29" s="37"/>
      <c r="EP29" s="37"/>
      <c r="EQ29" s="37"/>
      <c r="ER29" s="37"/>
      <c r="ES29" s="37"/>
      <c r="ET29" s="37"/>
      <c r="EU29" s="37"/>
      <c r="EV29" s="37"/>
      <c r="EW29" s="37"/>
      <c r="EX29" s="37"/>
      <c r="EY29" s="37"/>
      <c r="EZ29" s="37"/>
      <c r="FA29" s="37"/>
      <c r="FB29" s="37"/>
      <c r="FC29" s="37"/>
      <c r="FD29" s="37"/>
      <c r="FE29" s="37"/>
      <c r="FF29" s="37"/>
      <c r="FG29" s="37"/>
      <c r="FH29" s="37"/>
      <c r="FI29" s="37"/>
      <c r="FJ29" s="37"/>
      <c r="FK29" s="37"/>
      <c r="FL29" s="37"/>
      <c r="FM29" s="37"/>
      <c r="FN29" s="37"/>
      <c r="FO29" s="37"/>
      <c r="FP29" s="37"/>
      <c r="FQ29" s="37"/>
      <c r="FR29" s="37"/>
      <c r="FS29" s="37"/>
      <c r="FT29" s="37"/>
      <c r="FU29" s="37"/>
      <c r="FV29" s="37"/>
      <c r="FW29" s="37"/>
      <c r="FX29" s="37"/>
      <c r="FY29" s="37"/>
      <c r="FZ29" s="37"/>
      <c r="GA29" s="37"/>
      <c r="GB29" s="37"/>
      <c r="GC29" s="37"/>
      <c r="GD29" s="37"/>
      <c r="GE29" s="37"/>
      <c r="GF29" s="37"/>
      <c r="GG29" s="37"/>
      <c r="GH29" s="37"/>
      <c r="GI29" s="37"/>
      <c r="GJ29" s="37"/>
      <c r="GK29" s="37"/>
      <c r="GL29" s="37"/>
      <c r="GM29" s="37"/>
      <c r="GN29" s="37"/>
      <c r="GO29" s="37"/>
      <c r="GP29" s="37"/>
      <c r="GQ29" s="37"/>
      <c r="GR29" s="37"/>
      <c r="GS29" s="37"/>
      <c r="GT29" s="37"/>
      <c r="GU29" s="37"/>
      <c r="GV29" s="37"/>
      <c r="GW29" s="37"/>
      <c r="GX29" s="37"/>
      <c r="GY29" s="37"/>
      <c r="GZ29" s="37"/>
      <c r="HA29" s="37"/>
      <c r="HB29" s="37"/>
      <c r="HC29" s="37"/>
      <c r="HD29" s="37"/>
      <c r="HE29" s="37"/>
      <c r="HF29" s="37"/>
      <c r="HG29" s="37"/>
      <c r="HH29" s="37"/>
      <c r="HI29" s="37"/>
      <c r="HJ29" s="37"/>
      <c r="HK29" s="37"/>
      <c r="HL29" s="37"/>
      <c r="HM29" s="37"/>
      <c r="HN29" s="37"/>
      <c r="HO29" s="37"/>
      <c r="HP29" s="37"/>
      <c r="HQ29" s="37"/>
      <c r="HR29" s="37"/>
      <c r="HS29" s="37"/>
      <c r="HT29" s="37"/>
      <c r="HU29" s="37"/>
      <c r="HV29" s="37"/>
      <c r="HW29" s="37"/>
      <c r="HX29" s="37"/>
      <c r="HY29" s="37"/>
      <c r="HZ29" s="37"/>
      <c r="IA29" s="37"/>
      <c r="IB29" s="37"/>
      <c r="IC29" s="37"/>
      <c r="ID29" s="37"/>
      <c r="IE29" s="37"/>
      <c r="IF29" s="37"/>
      <c r="IG29" s="37"/>
      <c r="IH29" s="37"/>
      <c r="II29" s="37"/>
      <c r="IJ29" s="37"/>
      <c r="IK29" s="37"/>
      <c r="IL29" s="37"/>
      <c r="IM29" s="37"/>
      <c r="IN29" s="37"/>
      <c r="IO29" s="37"/>
      <c r="IP29" s="37"/>
      <c r="IQ29" s="37"/>
      <c r="IR29" s="37"/>
      <c r="IS29" s="37"/>
      <c r="IT29" s="37"/>
      <c r="IU29" s="37"/>
      <c r="IV29" s="37"/>
      <c r="IW29" s="37"/>
      <c r="IX29" s="37"/>
      <c r="IY29" s="37"/>
      <c r="IZ29" s="37"/>
      <c r="JA29" s="37"/>
      <c r="JB29" s="37"/>
      <c r="JC29" s="37"/>
      <c r="JD29" s="37"/>
      <c r="JE29" s="37"/>
      <c r="JF29" s="37"/>
      <c r="JG29" s="37"/>
      <c r="JH29" s="37"/>
      <c r="JI29" s="37"/>
      <c r="JJ29" s="37"/>
      <c r="JK29" s="37"/>
      <c r="JL29" s="37"/>
      <c r="JM29" s="37"/>
      <c r="JN29" s="37"/>
      <c r="JO29" s="37"/>
      <c r="JP29" s="37"/>
      <c r="JQ29" s="37"/>
      <c r="JR29" s="37"/>
      <c r="JS29" s="37"/>
      <c r="JT29" s="37"/>
      <c r="JU29" s="37"/>
      <c r="JV29" s="37"/>
      <c r="JW29" s="37"/>
      <c r="JX29" s="37"/>
      <c r="JY29" s="37"/>
      <c r="JZ29" s="37"/>
      <c r="KA29" s="37"/>
      <c r="KB29" s="37"/>
    </row>
    <row r="30" spans="1:288" s="10" customFormat="1" ht="40.200000000000003" customHeight="1" x14ac:dyDescent="0.3">
      <c r="A30" s="3"/>
      <c r="B30" s="46" t="s">
        <v>81</v>
      </c>
      <c r="C30" s="26" t="s">
        <v>62</v>
      </c>
      <c r="D30" s="26" t="s">
        <v>67</v>
      </c>
      <c r="E30" s="27">
        <f t="shared" ref="E30:E39" ca="1" si="14">MIN(1, MAX(0, (TODAY() - F30 + 1) / G30))</f>
        <v>0</v>
      </c>
      <c r="F30" s="28">
        <f>F28+G28</f>
        <v>46000</v>
      </c>
      <c r="G30" s="29">
        <v>3</v>
      </c>
      <c r="H30" s="26"/>
      <c r="I30" s="37"/>
      <c r="J30" s="37"/>
      <c r="K30" s="37"/>
      <c r="L30" s="37"/>
      <c r="M30" s="37"/>
      <c r="N30" s="37"/>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K30" s="37"/>
      <c r="DL30" s="37"/>
      <c r="DM30" s="37"/>
      <c r="DN30" s="37"/>
      <c r="DO30" s="37"/>
      <c r="DP30" s="37"/>
      <c r="DQ30" s="37"/>
      <c r="DR30" s="37"/>
      <c r="DS30" s="37"/>
      <c r="DT30" s="37"/>
      <c r="DU30" s="37"/>
      <c r="DV30" s="37"/>
      <c r="DW30" s="37"/>
      <c r="DX30" s="37"/>
      <c r="DY30" s="37"/>
      <c r="DZ30" s="37"/>
      <c r="EA30" s="37"/>
      <c r="EB30" s="37"/>
      <c r="EC30" s="37"/>
      <c r="ED30" s="37"/>
      <c r="EE30" s="37"/>
      <c r="EF30" s="37"/>
      <c r="EG30" s="37"/>
      <c r="EH30" s="37"/>
      <c r="EI30" s="37"/>
      <c r="EJ30" s="37"/>
      <c r="EK30" s="37"/>
      <c r="EL30" s="37"/>
      <c r="EM30" s="37"/>
      <c r="EN30" s="37"/>
      <c r="EO30" s="37"/>
      <c r="EP30" s="37"/>
      <c r="EQ30" s="37"/>
      <c r="ER30" s="37"/>
      <c r="ES30" s="37"/>
      <c r="ET30" s="37"/>
      <c r="EU30" s="37"/>
      <c r="EV30" s="37"/>
      <c r="EW30" s="37"/>
      <c r="EX30" s="37"/>
      <c r="EY30" s="37"/>
      <c r="EZ30" s="37"/>
      <c r="FA30" s="37"/>
      <c r="FB30" s="37"/>
      <c r="FC30" s="37"/>
      <c r="FD30" s="37"/>
      <c r="FE30" s="37"/>
      <c r="FF30" s="37"/>
      <c r="FG30" s="37"/>
      <c r="FH30" s="37"/>
      <c r="FI30" s="37"/>
      <c r="FJ30" s="37"/>
      <c r="FK30" s="37"/>
      <c r="FL30" s="37"/>
      <c r="FM30" s="37"/>
      <c r="FN30" s="37"/>
      <c r="FO30" s="37"/>
      <c r="FP30" s="37"/>
      <c r="FQ30" s="37"/>
      <c r="FR30" s="37"/>
      <c r="FS30" s="37"/>
      <c r="FT30" s="37"/>
      <c r="FU30" s="37"/>
      <c r="FV30" s="37"/>
      <c r="FW30" s="37"/>
      <c r="FX30" s="37"/>
      <c r="FY30" s="37"/>
      <c r="FZ30" s="37"/>
      <c r="GA30" s="37"/>
      <c r="GB30" s="37"/>
      <c r="GC30" s="37"/>
      <c r="GD30" s="37"/>
      <c r="GE30" s="37"/>
      <c r="GF30" s="37"/>
      <c r="GG30" s="37"/>
      <c r="GH30" s="37"/>
      <c r="GI30" s="37"/>
      <c r="GJ30" s="37"/>
      <c r="GK30" s="37"/>
      <c r="GL30" s="37"/>
      <c r="GM30" s="37"/>
      <c r="GN30" s="37"/>
      <c r="GO30" s="37"/>
      <c r="GP30" s="37"/>
      <c r="GQ30" s="37"/>
      <c r="GR30" s="37"/>
      <c r="GS30" s="37"/>
      <c r="GT30" s="37"/>
      <c r="GU30" s="37"/>
      <c r="GV30" s="37"/>
      <c r="GW30" s="37"/>
      <c r="GX30" s="37"/>
      <c r="GY30" s="37"/>
      <c r="GZ30" s="37"/>
      <c r="HA30" s="37"/>
      <c r="HB30" s="37"/>
      <c r="HC30" s="37"/>
      <c r="HD30" s="37"/>
      <c r="HE30" s="37"/>
      <c r="HF30" s="37"/>
      <c r="HG30" s="37"/>
      <c r="HH30" s="37"/>
      <c r="HI30" s="37"/>
      <c r="HJ30" s="37"/>
      <c r="HK30" s="37"/>
      <c r="HL30" s="37"/>
      <c r="HM30" s="37"/>
      <c r="HN30" s="37"/>
      <c r="HO30" s="37"/>
      <c r="HP30" s="37"/>
      <c r="HQ30" s="37"/>
      <c r="HR30" s="37"/>
      <c r="HS30" s="37"/>
      <c r="HT30" s="37"/>
      <c r="HU30" s="37"/>
      <c r="HV30" s="37"/>
      <c r="HW30" s="37"/>
      <c r="HX30" s="37"/>
      <c r="HY30" s="37"/>
      <c r="HZ30" s="37"/>
      <c r="IA30" s="37"/>
      <c r="IB30" s="37"/>
      <c r="IC30" s="37"/>
      <c r="ID30" s="37"/>
      <c r="IE30" s="37"/>
      <c r="IF30" s="37"/>
      <c r="IG30" s="37"/>
      <c r="IH30" s="37"/>
      <c r="II30" s="37"/>
      <c r="IJ30" s="37"/>
      <c r="IK30" s="37"/>
      <c r="IL30" s="37"/>
      <c r="IM30" s="37"/>
      <c r="IN30" s="37"/>
      <c r="IO30" s="37"/>
      <c r="IP30" s="37"/>
      <c r="IQ30" s="37"/>
      <c r="IR30" s="37"/>
      <c r="IS30" s="37"/>
      <c r="IT30" s="37"/>
      <c r="IU30" s="37"/>
      <c r="IV30" s="37"/>
      <c r="IW30" s="37"/>
      <c r="IX30" s="37"/>
      <c r="IY30" s="37"/>
      <c r="IZ30" s="37"/>
      <c r="JA30" s="37"/>
      <c r="JB30" s="37"/>
      <c r="JC30" s="37"/>
      <c r="JD30" s="37"/>
      <c r="JE30" s="37"/>
      <c r="JF30" s="37"/>
      <c r="JG30" s="37"/>
      <c r="JH30" s="37"/>
      <c r="JI30" s="37"/>
      <c r="JJ30" s="37"/>
      <c r="JK30" s="37"/>
      <c r="JL30" s="37"/>
      <c r="JM30" s="37"/>
      <c r="JN30" s="37"/>
      <c r="JO30" s="37"/>
      <c r="JP30" s="37"/>
      <c r="JQ30" s="37"/>
      <c r="JR30" s="37"/>
      <c r="JS30" s="37"/>
      <c r="JT30" s="37"/>
      <c r="JU30" s="37"/>
      <c r="JV30" s="37"/>
      <c r="JW30" s="37"/>
      <c r="JX30" s="37"/>
      <c r="JY30" s="37"/>
      <c r="JZ30" s="37"/>
      <c r="KA30" s="37"/>
      <c r="KB30" s="37"/>
    </row>
    <row r="31" spans="1:288" s="10" customFormat="1" ht="40.200000000000003" customHeight="1" x14ac:dyDescent="0.3">
      <c r="A31" s="3"/>
      <c r="B31" s="46" t="s">
        <v>82</v>
      </c>
      <c r="C31" s="26" t="s">
        <v>62</v>
      </c>
      <c r="D31" s="26" t="s">
        <v>67</v>
      </c>
      <c r="E31" s="27">
        <f t="shared" ca="1" si="14"/>
        <v>0</v>
      </c>
      <c r="F31" s="28">
        <f>F30+G30</f>
        <v>46003</v>
      </c>
      <c r="G31" s="29">
        <v>5</v>
      </c>
      <c r="H31" s="26"/>
      <c r="I31" s="37"/>
      <c r="J31" s="37"/>
      <c r="K31" s="37"/>
      <c r="L31" s="37"/>
      <c r="M31" s="37"/>
      <c r="N31" s="37"/>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K31" s="37"/>
      <c r="DL31" s="37"/>
      <c r="DM31" s="37"/>
      <c r="DN31" s="37"/>
      <c r="DO31" s="37"/>
      <c r="DP31" s="37"/>
      <c r="DQ31" s="37"/>
      <c r="DR31" s="37"/>
      <c r="DS31" s="37"/>
      <c r="DT31" s="37"/>
      <c r="DU31" s="37"/>
      <c r="DV31" s="37"/>
      <c r="DW31" s="37"/>
      <c r="DX31" s="37"/>
      <c r="DY31" s="37"/>
      <c r="DZ31" s="37"/>
      <c r="EA31" s="37"/>
      <c r="EB31" s="37"/>
      <c r="EC31" s="37"/>
      <c r="ED31" s="37"/>
      <c r="EE31" s="37"/>
      <c r="EF31" s="37"/>
      <c r="EG31" s="37"/>
      <c r="EH31" s="37"/>
      <c r="EI31" s="37"/>
      <c r="EJ31" s="37"/>
      <c r="EK31" s="37"/>
      <c r="EL31" s="37"/>
      <c r="EM31" s="37"/>
      <c r="EN31" s="37"/>
      <c r="EO31" s="37"/>
      <c r="EP31" s="37"/>
      <c r="EQ31" s="37"/>
      <c r="ER31" s="37"/>
      <c r="ES31" s="37"/>
      <c r="ET31" s="37"/>
      <c r="EU31" s="37"/>
      <c r="EV31" s="37"/>
      <c r="EW31" s="37"/>
      <c r="EX31" s="37"/>
      <c r="EY31" s="37"/>
      <c r="EZ31" s="37"/>
      <c r="FA31" s="37"/>
      <c r="FB31" s="37"/>
      <c r="FC31" s="37"/>
      <c r="FD31" s="37"/>
      <c r="FE31" s="37"/>
      <c r="FF31" s="37"/>
      <c r="FG31" s="37"/>
      <c r="FH31" s="37"/>
      <c r="FI31" s="37"/>
      <c r="FJ31" s="37"/>
      <c r="FK31" s="37"/>
      <c r="FL31" s="37"/>
      <c r="FM31" s="37"/>
      <c r="FN31" s="37"/>
      <c r="FO31" s="37"/>
      <c r="FP31" s="37"/>
      <c r="FQ31" s="37"/>
      <c r="FR31" s="37"/>
      <c r="FS31" s="37"/>
      <c r="FT31" s="37"/>
      <c r="FU31" s="37"/>
      <c r="FV31" s="37"/>
      <c r="FW31" s="37"/>
      <c r="FX31" s="37"/>
      <c r="FY31" s="37"/>
      <c r="FZ31" s="37"/>
      <c r="GA31" s="37"/>
      <c r="GB31" s="37"/>
      <c r="GC31" s="37"/>
      <c r="GD31" s="37"/>
      <c r="GE31" s="37"/>
      <c r="GF31" s="37"/>
      <c r="GG31" s="37"/>
      <c r="GH31" s="37"/>
      <c r="GI31" s="37"/>
      <c r="GJ31" s="37"/>
      <c r="GK31" s="37"/>
      <c r="GL31" s="37"/>
      <c r="GM31" s="37"/>
      <c r="GN31" s="37"/>
      <c r="GO31" s="37"/>
      <c r="GP31" s="37"/>
      <c r="GQ31" s="37"/>
      <c r="GR31" s="37"/>
      <c r="GS31" s="37"/>
      <c r="GT31" s="37"/>
      <c r="GU31" s="37"/>
      <c r="GV31" s="37"/>
      <c r="GW31" s="37"/>
      <c r="GX31" s="37"/>
      <c r="GY31" s="37"/>
      <c r="GZ31" s="37"/>
      <c r="HA31" s="37"/>
      <c r="HB31" s="37"/>
      <c r="HC31" s="37"/>
      <c r="HD31" s="37"/>
      <c r="HE31" s="37"/>
      <c r="HF31" s="37"/>
      <c r="HG31" s="37"/>
      <c r="HH31" s="37"/>
      <c r="HI31" s="37"/>
      <c r="HJ31" s="37"/>
      <c r="HK31" s="37"/>
      <c r="HL31" s="37"/>
      <c r="HM31" s="37"/>
      <c r="HN31" s="37"/>
      <c r="HO31" s="37"/>
      <c r="HP31" s="37"/>
      <c r="HQ31" s="37"/>
      <c r="HR31" s="37"/>
      <c r="HS31" s="37"/>
      <c r="HT31" s="37"/>
      <c r="HU31" s="37"/>
      <c r="HV31" s="37"/>
      <c r="HW31" s="37"/>
      <c r="HX31" s="37"/>
      <c r="HY31" s="37"/>
      <c r="HZ31" s="37"/>
      <c r="IA31" s="37"/>
      <c r="IB31" s="37"/>
      <c r="IC31" s="37"/>
      <c r="ID31" s="37"/>
      <c r="IE31" s="37"/>
      <c r="IF31" s="37"/>
      <c r="IG31" s="37"/>
      <c r="IH31" s="37"/>
      <c r="II31" s="37"/>
      <c r="IJ31" s="37"/>
      <c r="IK31" s="37"/>
      <c r="IL31" s="37"/>
      <c r="IM31" s="37"/>
      <c r="IN31" s="37"/>
      <c r="IO31" s="37"/>
      <c r="IP31" s="37"/>
      <c r="IQ31" s="37"/>
      <c r="IR31" s="37"/>
      <c r="IS31" s="37"/>
      <c r="IT31" s="37"/>
      <c r="IU31" s="37"/>
      <c r="IV31" s="37"/>
      <c r="IW31" s="37"/>
      <c r="IX31" s="37"/>
      <c r="IY31" s="37"/>
      <c r="IZ31" s="37"/>
      <c r="JA31" s="37"/>
      <c r="JB31" s="37"/>
      <c r="JC31" s="37"/>
      <c r="JD31" s="37"/>
      <c r="JE31" s="37"/>
      <c r="JF31" s="37"/>
      <c r="JG31" s="37"/>
      <c r="JH31" s="37"/>
      <c r="JI31" s="37"/>
      <c r="JJ31" s="37"/>
      <c r="JK31" s="37"/>
      <c r="JL31" s="37"/>
      <c r="JM31" s="37"/>
      <c r="JN31" s="37"/>
      <c r="JO31" s="37"/>
      <c r="JP31" s="37"/>
      <c r="JQ31" s="37"/>
      <c r="JR31" s="37"/>
      <c r="JS31" s="37"/>
      <c r="JT31" s="37"/>
      <c r="JU31" s="37"/>
      <c r="JV31" s="37"/>
      <c r="JW31" s="37"/>
      <c r="JX31" s="37"/>
      <c r="JY31" s="37"/>
      <c r="JZ31" s="37"/>
      <c r="KA31" s="37"/>
      <c r="KB31" s="37"/>
    </row>
    <row r="32" spans="1:288" s="10" customFormat="1" ht="40.200000000000003" customHeight="1" x14ac:dyDescent="0.3">
      <c r="A32" s="3"/>
      <c r="B32" s="46" t="s">
        <v>83</v>
      </c>
      <c r="C32" s="26" t="s">
        <v>63</v>
      </c>
      <c r="D32" s="26" t="s">
        <v>67</v>
      </c>
      <c r="E32" s="27">
        <f t="shared" ca="1" si="14"/>
        <v>0</v>
      </c>
      <c r="F32" s="28">
        <f>F30+G30</f>
        <v>46003</v>
      </c>
      <c r="G32" s="29">
        <v>10</v>
      </c>
      <c r="H32" s="26"/>
      <c r="I32" s="37"/>
      <c r="J32" s="37"/>
      <c r="K32" s="37"/>
      <c r="L32" s="37"/>
      <c r="M32" s="37"/>
      <c r="N32" s="37"/>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K32" s="37"/>
      <c r="DL32" s="37"/>
      <c r="DM32" s="37"/>
      <c r="DN32" s="37"/>
      <c r="DO32" s="37"/>
      <c r="DP32" s="37"/>
      <c r="DQ32" s="37"/>
      <c r="DR32" s="37"/>
      <c r="DS32" s="37"/>
      <c r="DT32" s="37"/>
      <c r="DU32" s="37"/>
      <c r="DV32" s="37"/>
      <c r="DW32" s="37"/>
      <c r="DX32" s="37"/>
      <c r="DY32" s="37"/>
      <c r="DZ32" s="37"/>
      <c r="EA32" s="37"/>
      <c r="EB32" s="37"/>
      <c r="EC32" s="37"/>
      <c r="ED32" s="37"/>
      <c r="EE32" s="37"/>
      <c r="EF32" s="37"/>
      <c r="EG32" s="37"/>
      <c r="EH32" s="37"/>
      <c r="EI32" s="37"/>
      <c r="EJ32" s="37"/>
      <c r="EK32" s="37"/>
      <c r="EL32" s="37"/>
      <c r="EM32" s="37"/>
      <c r="EN32" s="37"/>
      <c r="EO32" s="37"/>
      <c r="EP32" s="37"/>
      <c r="EQ32" s="37"/>
      <c r="ER32" s="37"/>
      <c r="ES32" s="37"/>
      <c r="ET32" s="37"/>
      <c r="EU32" s="37"/>
      <c r="EV32" s="37"/>
      <c r="EW32" s="37"/>
      <c r="EX32" s="37"/>
      <c r="EY32" s="37"/>
      <c r="EZ32" s="37"/>
      <c r="FA32" s="37"/>
      <c r="FB32" s="37"/>
      <c r="FC32" s="37"/>
      <c r="FD32" s="37"/>
      <c r="FE32" s="37"/>
      <c r="FF32" s="37"/>
      <c r="FG32" s="37"/>
      <c r="FH32" s="37"/>
      <c r="FI32" s="37"/>
      <c r="FJ32" s="37"/>
      <c r="FK32" s="37"/>
      <c r="FL32" s="37"/>
      <c r="FM32" s="37"/>
      <c r="FN32" s="37"/>
      <c r="FO32" s="37"/>
      <c r="FP32" s="37"/>
      <c r="FQ32" s="37"/>
      <c r="FR32" s="37"/>
      <c r="FS32" s="37"/>
      <c r="FT32" s="37"/>
      <c r="FU32" s="37"/>
      <c r="FV32" s="37"/>
      <c r="FW32" s="37"/>
      <c r="FX32" s="37"/>
      <c r="FY32" s="37"/>
      <c r="FZ32" s="37"/>
      <c r="GA32" s="37"/>
      <c r="GB32" s="37"/>
      <c r="GC32" s="37"/>
      <c r="GD32" s="37"/>
      <c r="GE32" s="37"/>
      <c r="GF32" s="37"/>
      <c r="GG32" s="37"/>
      <c r="GH32" s="37"/>
      <c r="GI32" s="37"/>
      <c r="GJ32" s="37"/>
      <c r="GK32" s="37"/>
      <c r="GL32" s="37"/>
      <c r="GM32" s="37"/>
      <c r="GN32" s="37"/>
      <c r="GO32" s="37"/>
      <c r="GP32" s="37"/>
      <c r="GQ32" s="37"/>
      <c r="GR32" s="37"/>
      <c r="GS32" s="37"/>
      <c r="GT32" s="37"/>
      <c r="GU32" s="37"/>
      <c r="GV32" s="37"/>
      <c r="GW32" s="37"/>
      <c r="GX32" s="37"/>
      <c r="GY32" s="37"/>
      <c r="GZ32" s="37"/>
      <c r="HA32" s="37"/>
      <c r="HB32" s="37"/>
      <c r="HC32" s="37"/>
      <c r="HD32" s="37"/>
      <c r="HE32" s="37"/>
      <c r="HF32" s="37"/>
      <c r="HG32" s="37"/>
      <c r="HH32" s="37"/>
      <c r="HI32" s="37"/>
      <c r="HJ32" s="37"/>
      <c r="HK32" s="37"/>
      <c r="HL32" s="37"/>
      <c r="HM32" s="37"/>
      <c r="HN32" s="37"/>
      <c r="HO32" s="37"/>
      <c r="HP32" s="37"/>
      <c r="HQ32" s="37"/>
      <c r="HR32" s="37"/>
      <c r="HS32" s="37"/>
      <c r="HT32" s="37"/>
      <c r="HU32" s="37"/>
      <c r="HV32" s="37"/>
      <c r="HW32" s="37"/>
      <c r="HX32" s="37"/>
      <c r="HY32" s="37"/>
      <c r="HZ32" s="37"/>
      <c r="IA32" s="37"/>
      <c r="IB32" s="37"/>
      <c r="IC32" s="37"/>
      <c r="ID32" s="37"/>
      <c r="IE32" s="37"/>
      <c r="IF32" s="37"/>
      <c r="IG32" s="37"/>
      <c r="IH32" s="37"/>
      <c r="II32" s="37"/>
      <c r="IJ32" s="37"/>
      <c r="IK32" s="37"/>
      <c r="IL32" s="37"/>
      <c r="IM32" s="37"/>
      <c r="IN32" s="37"/>
      <c r="IO32" s="37"/>
      <c r="IP32" s="37"/>
      <c r="IQ32" s="37"/>
      <c r="IR32" s="37"/>
      <c r="IS32" s="37"/>
      <c r="IT32" s="37"/>
      <c r="IU32" s="37"/>
      <c r="IV32" s="37"/>
      <c r="IW32" s="37"/>
      <c r="IX32" s="37"/>
      <c r="IY32" s="37"/>
      <c r="IZ32" s="37"/>
      <c r="JA32" s="37"/>
      <c r="JB32" s="37"/>
      <c r="JC32" s="37"/>
      <c r="JD32" s="37"/>
      <c r="JE32" s="37"/>
      <c r="JF32" s="37"/>
      <c r="JG32" s="37"/>
      <c r="JH32" s="37"/>
      <c r="JI32" s="37"/>
      <c r="JJ32" s="37"/>
      <c r="JK32" s="37"/>
      <c r="JL32" s="37"/>
      <c r="JM32" s="37"/>
      <c r="JN32" s="37"/>
      <c r="JO32" s="37"/>
      <c r="JP32" s="37"/>
      <c r="JQ32" s="37"/>
      <c r="JR32" s="37"/>
      <c r="JS32" s="37"/>
      <c r="JT32" s="37"/>
      <c r="JU32" s="37"/>
      <c r="JV32" s="37"/>
      <c r="JW32" s="37"/>
      <c r="JX32" s="37"/>
      <c r="JY32" s="37"/>
      <c r="JZ32" s="37"/>
      <c r="KA32" s="37"/>
      <c r="KB32" s="37"/>
    </row>
    <row r="33" spans="1:288" s="10" customFormat="1" ht="40.200000000000003" customHeight="1" x14ac:dyDescent="0.3">
      <c r="A33" s="3"/>
      <c r="B33" s="46" t="s">
        <v>86</v>
      </c>
      <c r="C33" s="26" t="s">
        <v>64</v>
      </c>
      <c r="D33" s="26" t="s">
        <v>24</v>
      </c>
      <c r="E33" s="27">
        <f t="shared" ca="1" si="14"/>
        <v>0</v>
      </c>
      <c r="F33" s="28">
        <f>Project_Start+64</f>
        <v>46020</v>
      </c>
      <c r="G33" s="29">
        <v>1</v>
      </c>
      <c r="H33" s="26"/>
      <c r="I33" s="37"/>
      <c r="J33" s="37"/>
      <c r="K33" s="37"/>
      <c r="L33" s="37"/>
      <c r="M33" s="37"/>
      <c r="N33" s="37"/>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K33" s="37"/>
      <c r="DL33" s="37"/>
      <c r="DM33" s="37"/>
      <c r="DN33" s="37"/>
      <c r="DO33" s="37"/>
      <c r="DP33" s="37"/>
      <c r="DQ33" s="37"/>
      <c r="DR33" s="37"/>
      <c r="DS33" s="37"/>
      <c r="DT33" s="37"/>
      <c r="DU33" s="37"/>
      <c r="DV33" s="37"/>
      <c r="DW33" s="37"/>
      <c r="DX33" s="37"/>
      <c r="DY33" s="37"/>
      <c r="DZ33" s="37"/>
      <c r="EA33" s="37"/>
      <c r="EB33" s="37"/>
      <c r="EC33" s="37"/>
      <c r="ED33" s="37"/>
      <c r="EE33" s="37"/>
      <c r="EF33" s="37"/>
      <c r="EG33" s="37"/>
      <c r="EH33" s="37"/>
      <c r="EI33" s="37"/>
      <c r="EJ33" s="37"/>
      <c r="EK33" s="37"/>
      <c r="EL33" s="37"/>
      <c r="EM33" s="37"/>
      <c r="EN33" s="37"/>
      <c r="EO33" s="37"/>
      <c r="EP33" s="37"/>
      <c r="EQ33" s="37"/>
      <c r="ER33" s="37"/>
      <c r="ES33" s="37"/>
      <c r="ET33" s="37"/>
      <c r="EU33" s="37"/>
      <c r="EV33" s="37"/>
      <c r="EW33" s="37"/>
      <c r="EX33" s="37"/>
      <c r="EY33" s="37"/>
      <c r="EZ33" s="37"/>
      <c r="FA33" s="37"/>
      <c r="FB33" s="37"/>
      <c r="FC33" s="37"/>
      <c r="FD33" s="37"/>
      <c r="FE33" s="37"/>
      <c r="FF33" s="37"/>
      <c r="FG33" s="37"/>
      <c r="FH33" s="37"/>
      <c r="FI33" s="37"/>
      <c r="FJ33" s="37"/>
      <c r="FK33" s="37"/>
      <c r="FL33" s="37"/>
      <c r="FM33" s="37"/>
      <c r="FN33" s="37"/>
      <c r="FO33" s="37"/>
      <c r="FP33" s="37"/>
      <c r="FQ33" s="37"/>
      <c r="FR33" s="37"/>
      <c r="FS33" s="37"/>
      <c r="FT33" s="37"/>
      <c r="FU33" s="37"/>
      <c r="FV33" s="37"/>
      <c r="FW33" s="37"/>
      <c r="FX33" s="37"/>
      <c r="FY33" s="37"/>
      <c r="FZ33" s="37"/>
      <c r="GA33" s="37"/>
      <c r="GB33" s="37"/>
      <c r="GC33" s="37"/>
      <c r="GD33" s="37"/>
      <c r="GE33" s="37"/>
      <c r="GF33" s="37"/>
      <c r="GG33" s="37"/>
      <c r="GH33" s="37"/>
      <c r="GI33" s="37"/>
      <c r="GJ33" s="37"/>
      <c r="GK33" s="37"/>
      <c r="GL33" s="37"/>
      <c r="GM33" s="37"/>
      <c r="GN33" s="37"/>
      <c r="GO33" s="37"/>
      <c r="GP33" s="37"/>
      <c r="GQ33" s="37"/>
      <c r="GR33" s="37"/>
      <c r="GS33" s="37"/>
      <c r="GT33" s="37"/>
      <c r="GU33" s="37"/>
      <c r="GV33" s="37"/>
      <c r="GW33" s="37"/>
      <c r="GX33" s="37"/>
      <c r="GY33" s="37"/>
      <c r="GZ33" s="37"/>
      <c r="HA33" s="37"/>
      <c r="HB33" s="37"/>
      <c r="HC33" s="37"/>
      <c r="HD33" s="37"/>
      <c r="HE33" s="37"/>
      <c r="HF33" s="37"/>
      <c r="HG33" s="37"/>
      <c r="HH33" s="37"/>
      <c r="HI33" s="37"/>
      <c r="HJ33" s="37"/>
      <c r="HK33" s="37"/>
      <c r="HL33" s="37"/>
      <c r="HM33" s="37"/>
      <c r="HN33" s="37"/>
      <c r="HO33" s="37"/>
      <c r="HP33" s="37"/>
      <c r="HQ33" s="37"/>
      <c r="HR33" s="37"/>
      <c r="HS33" s="37"/>
      <c r="HT33" s="37"/>
      <c r="HU33" s="37"/>
      <c r="HV33" s="37"/>
      <c r="HW33" s="37"/>
      <c r="HX33" s="37"/>
      <c r="HY33" s="37"/>
      <c r="HZ33" s="37"/>
      <c r="IA33" s="37"/>
      <c r="IB33" s="37"/>
      <c r="IC33" s="37"/>
      <c r="ID33" s="37"/>
      <c r="IE33" s="37"/>
      <c r="IF33" s="37"/>
      <c r="IG33" s="37"/>
      <c r="IH33" s="37"/>
      <c r="II33" s="37"/>
      <c r="IJ33" s="37"/>
      <c r="IK33" s="37"/>
      <c r="IL33" s="37"/>
      <c r="IM33" s="37"/>
      <c r="IN33" s="37"/>
      <c r="IO33" s="37"/>
      <c r="IP33" s="37"/>
      <c r="IQ33" s="37"/>
      <c r="IR33" s="37"/>
      <c r="IS33" s="37"/>
      <c r="IT33" s="37"/>
      <c r="IU33" s="37"/>
      <c r="IV33" s="37"/>
      <c r="IW33" s="37"/>
      <c r="IX33" s="37"/>
      <c r="IY33" s="37"/>
      <c r="IZ33" s="37"/>
      <c r="JA33" s="37"/>
      <c r="JB33" s="37"/>
      <c r="JC33" s="37"/>
      <c r="JD33" s="37"/>
      <c r="JE33" s="37"/>
      <c r="JF33" s="37"/>
      <c r="JG33" s="37"/>
      <c r="JH33" s="37"/>
      <c r="JI33" s="37"/>
      <c r="JJ33" s="37"/>
      <c r="JK33" s="37"/>
      <c r="JL33" s="37"/>
      <c r="JM33" s="37"/>
      <c r="JN33" s="37"/>
      <c r="JO33" s="37"/>
      <c r="JP33" s="37"/>
      <c r="JQ33" s="37"/>
      <c r="JR33" s="37"/>
      <c r="JS33" s="37"/>
      <c r="JT33" s="37"/>
      <c r="JU33" s="37"/>
      <c r="JV33" s="37"/>
      <c r="JW33" s="37"/>
      <c r="JX33" s="37"/>
      <c r="JY33" s="37"/>
      <c r="JZ33" s="37"/>
      <c r="KA33" s="37"/>
      <c r="KB33" s="37"/>
    </row>
    <row r="34" spans="1:288" s="10" customFormat="1" ht="40.200000000000003" customHeight="1" x14ac:dyDescent="0.3">
      <c r="A34" s="3"/>
      <c r="B34" s="46" t="s">
        <v>87</v>
      </c>
      <c r="C34" s="26" t="s">
        <v>64</v>
      </c>
      <c r="D34" s="26" t="s">
        <v>24</v>
      </c>
      <c r="E34" s="27">
        <f t="shared" ca="1" si="14"/>
        <v>0</v>
      </c>
      <c r="F34" s="28">
        <f>Project_Start+148</f>
        <v>46104</v>
      </c>
      <c r="G34" s="29">
        <v>1</v>
      </c>
      <c r="H34" s="26"/>
      <c r="I34" s="37"/>
      <c r="J34" s="37"/>
      <c r="K34" s="37"/>
      <c r="L34" s="37"/>
      <c r="M34" s="37"/>
      <c r="N34" s="37"/>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K34" s="37"/>
      <c r="DL34" s="37"/>
      <c r="DM34" s="37"/>
      <c r="DN34" s="37"/>
      <c r="DO34" s="37"/>
      <c r="DP34" s="37"/>
      <c r="DQ34" s="37"/>
      <c r="DR34" s="37"/>
      <c r="DS34" s="37"/>
      <c r="DT34" s="37"/>
      <c r="DU34" s="37"/>
      <c r="DV34" s="37"/>
      <c r="DW34" s="37"/>
      <c r="DX34" s="37"/>
      <c r="DY34" s="37"/>
      <c r="DZ34" s="37"/>
      <c r="EA34" s="37"/>
      <c r="EB34" s="37"/>
      <c r="EC34" s="37"/>
      <c r="ED34" s="37"/>
      <c r="EE34" s="37"/>
      <c r="EF34" s="37"/>
      <c r="EG34" s="37"/>
      <c r="EH34" s="37"/>
      <c r="EI34" s="37"/>
      <c r="EJ34" s="37"/>
      <c r="EK34" s="37"/>
      <c r="EL34" s="37"/>
      <c r="EM34" s="37"/>
      <c r="EN34" s="37"/>
      <c r="EO34" s="37"/>
      <c r="EP34" s="37"/>
      <c r="EQ34" s="37"/>
      <c r="ER34" s="37"/>
      <c r="ES34" s="37"/>
      <c r="ET34" s="37"/>
      <c r="EU34" s="37"/>
      <c r="EV34" s="37"/>
      <c r="EW34" s="37"/>
      <c r="EX34" s="37"/>
      <c r="EY34" s="37"/>
      <c r="EZ34" s="37"/>
      <c r="FA34" s="37"/>
      <c r="FB34" s="37"/>
      <c r="FC34" s="37"/>
      <c r="FD34" s="37"/>
      <c r="FE34" s="37"/>
      <c r="FF34" s="37"/>
      <c r="FG34" s="37"/>
      <c r="FH34" s="37"/>
      <c r="FI34" s="37"/>
      <c r="FJ34" s="37"/>
      <c r="FK34" s="37"/>
      <c r="FL34" s="37"/>
      <c r="FM34" s="37"/>
      <c r="FN34" s="37"/>
      <c r="FO34" s="37"/>
      <c r="FP34" s="37"/>
      <c r="FQ34" s="37"/>
      <c r="FR34" s="37"/>
      <c r="FS34" s="37"/>
      <c r="FT34" s="37"/>
      <c r="FU34" s="37"/>
      <c r="FV34" s="37"/>
      <c r="FW34" s="37"/>
      <c r="FX34" s="37"/>
      <c r="FY34" s="37"/>
      <c r="FZ34" s="37"/>
      <c r="GA34" s="37"/>
      <c r="GB34" s="37"/>
      <c r="GC34" s="37"/>
      <c r="GD34" s="37"/>
      <c r="GE34" s="37"/>
      <c r="GF34" s="37"/>
      <c r="GG34" s="37"/>
      <c r="GH34" s="37"/>
      <c r="GI34" s="37"/>
      <c r="GJ34" s="37"/>
      <c r="GK34" s="37"/>
      <c r="GL34" s="37"/>
      <c r="GM34" s="37"/>
      <c r="GN34" s="37"/>
      <c r="GO34" s="37"/>
      <c r="GP34" s="37"/>
      <c r="GQ34" s="37"/>
      <c r="GR34" s="37"/>
      <c r="GS34" s="37"/>
      <c r="GT34" s="37"/>
      <c r="GU34" s="37"/>
      <c r="GV34" s="37"/>
      <c r="GW34" s="37"/>
      <c r="GX34" s="37"/>
      <c r="GY34" s="37"/>
      <c r="GZ34" s="37"/>
      <c r="HA34" s="37"/>
      <c r="HB34" s="37"/>
      <c r="HC34" s="37"/>
      <c r="HD34" s="37"/>
      <c r="HE34" s="37"/>
      <c r="HF34" s="37"/>
      <c r="HG34" s="37"/>
      <c r="HH34" s="37"/>
      <c r="HI34" s="37"/>
      <c r="HJ34" s="37"/>
      <c r="HK34" s="37"/>
      <c r="HL34" s="37"/>
      <c r="HM34" s="37"/>
      <c r="HN34" s="37"/>
      <c r="HO34" s="37"/>
      <c r="HP34" s="37"/>
      <c r="HQ34" s="37"/>
      <c r="HR34" s="37"/>
      <c r="HS34" s="37"/>
      <c r="HT34" s="37"/>
      <c r="HU34" s="37"/>
      <c r="HV34" s="37"/>
      <c r="HW34" s="37"/>
      <c r="HX34" s="37"/>
      <c r="HY34" s="37"/>
      <c r="HZ34" s="37"/>
      <c r="IA34" s="37"/>
      <c r="IB34" s="37"/>
      <c r="IC34" s="37"/>
      <c r="ID34" s="37"/>
      <c r="IE34" s="37"/>
      <c r="IF34" s="37"/>
      <c r="IG34" s="37"/>
      <c r="IH34" s="37"/>
      <c r="II34" s="37"/>
      <c r="IJ34" s="37"/>
      <c r="IK34" s="37"/>
      <c r="IL34" s="37"/>
      <c r="IM34" s="37"/>
      <c r="IN34" s="37"/>
      <c r="IO34" s="37"/>
      <c r="IP34" s="37"/>
      <c r="IQ34" s="37"/>
      <c r="IR34" s="37"/>
      <c r="IS34" s="37"/>
      <c r="IT34" s="37"/>
      <c r="IU34" s="37"/>
      <c r="IV34" s="37"/>
      <c r="IW34" s="37"/>
      <c r="IX34" s="37"/>
      <c r="IY34" s="37"/>
      <c r="IZ34" s="37"/>
      <c r="JA34" s="37"/>
      <c r="JB34" s="37"/>
      <c r="JC34" s="37"/>
      <c r="JD34" s="37"/>
      <c r="JE34" s="37"/>
      <c r="JF34" s="37"/>
      <c r="JG34" s="37"/>
      <c r="JH34" s="37"/>
      <c r="JI34" s="37"/>
      <c r="JJ34" s="37"/>
      <c r="JK34" s="37"/>
      <c r="JL34" s="37"/>
      <c r="JM34" s="37"/>
      <c r="JN34" s="37"/>
      <c r="JO34" s="37"/>
      <c r="JP34" s="37"/>
      <c r="JQ34" s="37"/>
      <c r="JR34" s="37"/>
      <c r="JS34" s="37"/>
      <c r="JT34" s="37"/>
      <c r="JU34" s="37"/>
      <c r="JV34" s="37"/>
      <c r="JW34" s="37"/>
      <c r="JX34" s="37"/>
      <c r="JY34" s="37"/>
      <c r="JZ34" s="37"/>
      <c r="KA34" s="37"/>
      <c r="KB34" s="37"/>
    </row>
    <row r="35" spans="1:288" s="10" customFormat="1" ht="40.200000000000003" customHeight="1" x14ac:dyDescent="0.3">
      <c r="A35" s="3"/>
      <c r="B35" s="46" t="s">
        <v>89</v>
      </c>
      <c r="C35" s="26" t="s">
        <v>63</v>
      </c>
      <c r="D35" s="26" t="s">
        <v>24</v>
      </c>
      <c r="E35" s="27">
        <f t="shared" ca="1" si="14"/>
        <v>0</v>
      </c>
      <c r="F35" s="28">
        <f>F36-14</f>
        <v>46110</v>
      </c>
      <c r="G35" s="29">
        <v>10</v>
      </c>
      <c r="H35" s="26"/>
      <c r="I35" s="37"/>
      <c r="J35" s="37"/>
      <c r="K35" s="37"/>
      <c r="L35" s="37"/>
      <c r="M35" s="37"/>
      <c r="N35" s="37"/>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K35" s="37"/>
      <c r="DL35" s="37"/>
      <c r="DM35" s="37"/>
      <c r="DN35" s="37"/>
      <c r="DO35" s="37"/>
      <c r="DP35" s="37"/>
      <c r="DQ35" s="37"/>
      <c r="DR35" s="37"/>
      <c r="DS35" s="37"/>
      <c r="DT35" s="37"/>
      <c r="DU35" s="37"/>
      <c r="DV35" s="37"/>
      <c r="DW35" s="37"/>
      <c r="DX35" s="37"/>
      <c r="DY35" s="37"/>
      <c r="DZ35" s="37"/>
      <c r="EA35" s="37"/>
      <c r="EB35" s="37"/>
      <c r="EC35" s="37"/>
      <c r="ED35" s="37"/>
      <c r="EE35" s="37"/>
      <c r="EF35" s="37"/>
      <c r="EG35" s="37"/>
      <c r="EH35" s="37"/>
      <c r="EI35" s="37"/>
      <c r="EJ35" s="37"/>
      <c r="EK35" s="37"/>
      <c r="EL35" s="37"/>
      <c r="EM35" s="37"/>
      <c r="EN35" s="37"/>
      <c r="EO35" s="37"/>
      <c r="EP35" s="37"/>
      <c r="EQ35" s="37"/>
      <c r="ER35" s="37"/>
      <c r="ES35" s="37"/>
      <c r="ET35" s="37"/>
      <c r="EU35" s="37"/>
      <c r="EV35" s="37"/>
      <c r="EW35" s="37"/>
      <c r="EX35" s="37"/>
      <c r="EY35" s="37"/>
      <c r="EZ35" s="37"/>
      <c r="FA35" s="37"/>
      <c r="FB35" s="37"/>
      <c r="FC35" s="37"/>
      <c r="FD35" s="37"/>
      <c r="FE35" s="37"/>
      <c r="FF35" s="37"/>
      <c r="FG35" s="37"/>
      <c r="FH35" s="37"/>
      <c r="FI35" s="37"/>
      <c r="FJ35" s="37"/>
      <c r="FK35" s="37"/>
      <c r="FL35" s="37"/>
      <c r="FM35" s="37"/>
      <c r="FN35" s="37"/>
      <c r="FO35" s="37"/>
      <c r="FP35" s="37"/>
      <c r="FQ35" s="37"/>
      <c r="FR35" s="37"/>
      <c r="FS35" s="37"/>
      <c r="FT35" s="37"/>
      <c r="FU35" s="37"/>
      <c r="FV35" s="37"/>
      <c r="FW35" s="37"/>
      <c r="FX35" s="37"/>
      <c r="FY35" s="37"/>
      <c r="FZ35" s="37"/>
      <c r="GA35" s="37"/>
      <c r="GB35" s="37"/>
      <c r="GC35" s="37"/>
      <c r="GD35" s="37"/>
      <c r="GE35" s="37"/>
      <c r="GF35" s="37"/>
      <c r="GG35" s="37"/>
      <c r="GH35" s="37"/>
      <c r="GI35" s="37"/>
      <c r="GJ35" s="37"/>
      <c r="GK35" s="37"/>
      <c r="GL35" s="37"/>
      <c r="GM35" s="37"/>
      <c r="GN35" s="37"/>
      <c r="GO35" s="37"/>
      <c r="GP35" s="37"/>
      <c r="GQ35" s="37"/>
      <c r="GR35" s="37"/>
      <c r="GS35" s="37"/>
      <c r="GT35" s="37"/>
      <c r="GU35" s="37"/>
      <c r="GV35" s="37"/>
      <c r="GW35" s="37"/>
      <c r="GX35" s="37"/>
      <c r="GY35" s="37"/>
      <c r="GZ35" s="37"/>
      <c r="HA35" s="37"/>
      <c r="HB35" s="37"/>
      <c r="HC35" s="37"/>
      <c r="HD35" s="37"/>
      <c r="HE35" s="37"/>
      <c r="HF35" s="37"/>
      <c r="HG35" s="37"/>
      <c r="HH35" s="37"/>
      <c r="HI35" s="37"/>
      <c r="HJ35" s="37"/>
      <c r="HK35" s="37"/>
      <c r="HL35" s="37"/>
      <c r="HM35" s="37"/>
      <c r="HN35" s="37"/>
      <c r="HO35" s="37"/>
      <c r="HP35" s="37"/>
      <c r="HQ35" s="37"/>
      <c r="HR35" s="37"/>
      <c r="HS35" s="37"/>
      <c r="HT35" s="37"/>
      <c r="HU35" s="37"/>
      <c r="HV35" s="37"/>
      <c r="HW35" s="37"/>
      <c r="HX35" s="37"/>
      <c r="HY35" s="37"/>
      <c r="HZ35" s="37"/>
      <c r="IA35" s="37"/>
      <c r="IB35" s="37"/>
      <c r="IC35" s="37"/>
      <c r="ID35" s="37"/>
      <c r="IE35" s="37"/>
      <c r="IF35" s="37"/>
      <c r="IG35" s="37"/>
      <c r="IH35" s="37"/>
      <c r="II35" s="37"/>
      <c r="IJ35" s="37"/>
      <c r="IK35" s="37"/>
      <c r="IL35" s="37"/>
      <c r="IM35" s="37"/>
      <c r="IN35" s="37"/>
      <c r="IO35" s="37"/>
      <c r="IP35" s="37"/>
      <c r="IQ35" s="37"/>
      <c r="IR35" s="37"/>
      <c r="IS35" s="37"/>
      <c r="IT35" s="37"/>
      <c r="IU35" s="37"/>
      <c r="IV35" s="37"/>
      <c r="IW35" s="37"/>
      <c r="IX35" s="37"/>
      <c r="IY35" s="37"/>
      <c r="IZ35" s="37"/>
      <c r="JA35" s="37"/>
      <c r="JB35" s="37"/>
      <c r="JC35" s="37"/>
      <c r="JD35" s="37"/>
      <c r="JE35" s="37"/>
      <c r="JF35" s="37"/>
      <c r="JG35" s="37"/>
      <c r="JH35" s="37"/>
      <c r="JI35" s="37"/>
      <c r="JJ35" s="37"/>
      <c r="JK35" s="37"/>
      <c r="JL35" s="37"/>
      <c r="JM35" s="37"/>
      <c r="JN35" s="37"/>
      <c r="JO35" s="37"/>
      <c r="JP35" s="37"/>
      <c r="JQ35" s="37"/>
      <c r="JR35" s="37"/>
      <c r="JS35" s="37"/>
      <c r="JT35" s="37"/>
      <c r="JU35" s="37"/>
      <c r="JV35" s="37"/>
      <c r="JW35" s="37"/>
      <c r="JX35" s="37"/>
      <c r="JY35" s="37"/>
      <c r="JZ35" s="37"/>
      <c r="KA35" s="37"/>
      <c r="KB35" s="37"/>
    </row>
    <row r="36" spans="1:288" s="10" customFormat="1" ht="40.200000000000003" customHeight="1" x14ac:dyDescent="0.3">
      <c r="A36" s="3"/>
      <c r="B36" s="47" t="s">
        <v>90</v>
      </c>
      <c r="C36" s="26" t="s">
        <v>64</v>
      </c>
      <c r="D36" s="26" t="s">
        <v>24</v>
      </c>
      <c r="E36" s="27">
        <f t="shared" ca="1" si="14"/>
        <v>0</v>
      </c>
      <c r="F36" s="28">
        <f>Project_Start+168</f>
        <v>46124</v>
      </c>
      <c r="G36" s="29">
        <v>6</v>
      </c>
      <c r="H36" s="26"/>
      <c r="I36" s="37"/>
      <c r="J36" s="37"/>
      <c r="K36" s="37"/>
      <c r="L36" s="37"/>
      <c r="M36" s="37"/>
      <c r="N36" s="37"/>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K36" s="37"/>
      <c r="DL36" s="37"/>
      <c r="DM36" s="37"/>
      <c r="DN36" s="37"/>
      <c r="DO36" s="37"/>
      <c r="DP36" s="37"/>
      <c r="DQ36" s="37"/>
      <c r="DR36" s="37"/>
      <c r="DS36" s="37"/>
      <c r="DT36" s="37"/>
      <c r="DU36" s="37"/>
      <c r="DV36" s="37"/>
      <c r="DW36" s="37"/>
      <c r="DX36" s="37"/>
      <c r="DY36" s="37"/>
      <c r="DZ36" s="37"/>
      <c r="EA36" s="37"/>
      <c r="EB36" s="37"/>
      <c r="EC36" s="37"/>
      <c r="ED36" s="37"/>
      <c r="EE36" s="37"/>
      <c r="EF36" s="37"/>
      <c r="EG36" s="37"/>
      <c r="EH36" s="37"/>
      <c r="EI36" s="37"/>
      <c r="EJ36" s="37"/>
      <c r="EK36" s="37"/>
      <c r="EL36" s="37"/>
      <c r="EM36" s="37"/>
      <c r="EN36" s="37"/>
      <c r="EO36" s="37"/>
      <c r="EP36" s="37"/>
      <c r="EQ36" s="37"/>
      <c r="ER36" s="37"/>
      <c r="ES36" s="37"/>
      <c r="ET36" s="37"/>
      <c r="EU36" s="37"/>
      <c r="EV36" s="37"/>
      <c r="EW36" s="37"/>
      <c r="EX36" s="37"/>
      <c r="EY36" s="37"/>
      <c r="EZ36" s="37"/>
      <c r="FA36" s="37"/>
      <c r="FB36" s="37"/>
      <c r="FC36" s="37"/>
      <c r="FD36" s="37"/>
      <c r="FE36" s="37"/>
      <c r="FF36" s="37"/>
      <c r="FG36" s="37"/>
      <c r="FH36" s="37"/>
      <c r="FI36" s="37"/>
      <c r="FJ36" s="37"/>
      <c r="FK36" s="37"/>
      <c r="FL36" s="37"/>
      <c r="FM36" s="37"/>
      <c r="FN36" s="37"/>
      <c r="FO36" s="37"/>
      <c r="FP36" s="37"/>
      <c r="FQ36" s="37"/>
      <c r="FR36" s="37"/>
      <c r="FS36" s="37"/>
      <c r="FT36" s="37"/>
      <c r="FU36" s="37"/>
      <c r="FV36" s="37"/>
      <c r="FW36" s="37"/>
      <c r="FX36" s="37"/>
      <c r="FY36" s="37"/>
      <c r="FZ36" s="37"/>
      <c r="GA36" s="37"/>
      <c r="GB36" s="37"/>
      <c r="GC36" s="37"/>
      <c r="GD36" s="37"/>
      <c r="GE36" s="37"/>
      <c r="GF36" s="37"/>
      <c r="GG36" s="37"/>
      <c r="GH36" s="37"/>
      <c r="GI36" s="37"/>
      <c r="GJ36" s="37"/>
      <c r="GK36" s="37"/>
      <c r="GL36" s="37"/>
      <c r="GM36" s="37"/>
      <c r="GN36" s="37"/>
      <c r="GO36" s="37"/>
      <c r="GP36" s="37"/>
      <c r="GQ36" s="37"/>
      <c r="GR36" s="37"/>
      <c r="GS36" s="37"/>
      <c r="GT36" s="37"/>
      <c r="GU36" s="37"/>
      <c r="GV36" s="37"/>
      <c r="GW36" s="37"/>
      <c r="GX36" s="37"/>
      <c r="GY36" s="37"/>
      <c r="GZ36" s="37"/>
      <c r="HA36" s="37"/>
      <c r="HB36" s="37"/>
      <c r="HC36" s="37"/>
      <c r="HD36" s="37"/>
      <c r="HE36" s="37"/>
      <c r="HF36" s="37"/>
      <c r="HG36" s="37"/>
      <c r="HH36" s="37"/>
      <c r="HI36" s="37"/>
      <c r="HJ36" s="37"/>
      <c r="HK36" s="37"/>
      <c r="HL36" s="37"/>
      <c r="HM36" s="37"/>
      <c r="HN36" s="37"/>
      <c r="HO36" s="37"/>
      <c r="HP36" s="37"/>
      <c r="HQ36" s="37"/>
      <c r="HR36" s="37"/>
      <c r="HS36" s="37"/>
      <c r="HT36" s="37"/>
      <c r="HU36" s="37"/>
      <c r="HV36" s="37"/>
      <c r="HW36" s="37"/>
      <c r="HX36" s="37"/>
      <c r="HY36" s="37"/>
      <c r="HZ36" s="37"/>
      <c r="IA36" s="37"/>
      <c r="IB36" s="37"/>
      <c r="IC36" s="37"/>
      <c r="ID36" s="37"/>
      <c r="IE36" s="37"/>
      <c r="IF36" s="37"/>
      <c r="IG36" s="37"/>
      <c r="IH36" s="37"/>
      <c r="II36" s="37"/>
      <c r="IJ36" s="37"/>
      <c r="IK36" s="37"/>
      <c r="IL36" s="37"/>
      <c r="IM36" s="37"/>
      <c r="IN36" s="37"/>
      <c r="IO36" s="37"/>
      <c r="IP36" s="37"/>
      <c r="IQ36" s="37"/>
      <c r="IR36" s="37"/>
      <c r="IS36" s="37"/>
      <c r="IT36" s="37"/>
      <c r="IU36" s="37"/>
      <c r="IV36" s="37"/>
      <c r="IW36" s="37"/>
      <c r="IX36" s="37"/>
      <c r="IY36" s="37"/>
      <c r="IZ36" s="37"/>
      <c r="JA36" s="37"/>
      <c r="JB36" s="37"/>
      <c r="JC36" s="37"/>
      <c r="JD36" s="37"/>
      <c r="JE36" s="37"/>
      <c r="JF36" s="37"/>
      <c r="JG36" s="37"/>
      <c r="JH36" s="37"/>
      <c r="JI36" s="37"/>
      <c r="JJ36" s="37"/>
      <c r="JK36" s="37"/>
      <c r="JL36" s="37"/>
      <c r="JM36" s="37"/>
      <c r="JN36" s="37"/>
      <c r="JO36" s="37"/>
      <c r="JP36" s="37"/>
      <c r="JQ36" s="37"/>
      <c r="JR36" s="37"/>
      <c r="JS36" s="37"/>
      <c r="JT36" s="37"/>
      <c r="JU36" s="37"/>
      <c r="JV36" s="37"/>
      <c r="JW36" s="37"/>
      <c r="JX36" s="37"/>
      <c r="JY36" s="37"/>
      <c r="JZ36" s="37"/>
      <c r="KA36" s="37"/>
      <c r="KB36" s="37"/>
    </row>
    <row r="37" spans="1:288" s="10" customFormat="1" ht="40.200000000000003" customHeight="1" x14ac:dyDescent="0.3">
      <c r="A37" s="3"/>
      <c r="B37" s="46" t="s">
        <v>92</v>
      </c>
      <c r="C37" s="26" t="s">
        <v>63</v>
      </c>
      <c r="D37" s="26" t="s">
        <v>24</v>
      </c>
      <c r="E37" s="27">
        <f ca="1">MIN(1, MAX(0, (TODAY() - F37 + 1) / G37))</f>
        <v>0</v>
      </c>
      <c r="F37" s="28">
        <f>F40-14</f>
        <v>46160</v>
      </c>
      <c r="G37" s="29">
        <v>5</v>
      </c>
      <c r="H37" s="26"/>
      <c r="I37" s="37"/>
      <c r="J37" s="37"/>
      <c r="K37" s="37"/>
      <c r="L37" s="37"/>
      <c r="M37" s="37"/>
      <c r="N37" s="37"/>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K37" s="37"/>
      <c r="DL37" s="37"/>
      <c r="DM37" s="37"/>
      <c r="DN37" s="37"/>
      <c r="DO37" s="37"/>
      <c r="DP37" s="37"/>
      <c r="DQ37" s="37"/>
      <c r="DR37" s="37"/>
      <c r="DS37" s="37"/>
      <c r="DT37" s="37"/>
      <c r="DU37" s="37"/>
      <c r="DV37" s="37"/>
      <c r="DW37" s="37"/>
      <c r="DX37" s="37"/>
      <c r="DY37" s="37"/>
      <c r="DZ37" s="37"/>
      <c r="EA37" s="37"/>
      <c r="EB37" s="37"/>
      <c r="EC37" s="37"/>
      <c r="ED37" s="37"/>
      <c r="EE37" s="37"/>
      <c r="EF37" s="37"/>
      <c r="EG37" s="37"/>
      <c r="EH37" s="37"/>
      <c r="EI37" s="37"/>
      <c r="EJ37" s="37"/>
      <c r="EK37" s="37"/>
      <c r="EL37" s="37"/>
      <c r="EM37" s="37"/>
      <c r="EN37" s="37"/>
      <c r="EO37" s="37"/>
      <c r="EP37" s="37"/>
      <c r="EQ37" s="37"/>
      <c r="ER37" s="37"/>
      <c r="ES37" s="37"/>
      <c r="ET37" s="37"/>
      <c r="EU37" s="37"/>
      <c r="EV37" s="37"/>
      <c r="EW37" s="37"/>
      <c r="EX37" s="37"/>
      <c r="EY37" s="37"/>
      <c r="EZ37" s="37"/>
      <c r="FA37" s="37"/>
      <c r="FB37" s="37"/>
      <c r="FC37" s="37"/>
      <c r="FD37" s="37"/>
      <c r="FE37" s="37"/>
      <c r="FF37" s="37"/>
      <c r="FG37" s="37"/>
      <c r="FH37" s="37"/>
      <c r="FI37" s="37"/>
      <c r="FJ37" s="37"/>
      <c r="FK37" s="37"/>
      <c r="FL37" s="37"/>
      <c r="FM37" s="37"/>
      <c r="FN37" s="37"/>
      <c r="FO37" s="37"/>
      <c r="FP37" s="37"/>
      <c r="FQ37" s="37"/>
      <c r="FR37" s="37"/>
      <c r="FS37" s="37"/>
      <c r="FT37" s="37"/>
      <c r="FU37" s="37"/>
      <c r="FV37" s="37"/>
      <c r="FW37" s="37"/>
      <c r="FX37" s="37"/>
      <c r="FY37" s="37"/>
      <c r="FZ37" s="37"/>
      <c r="GA37" s="37"/>
      <c r="GB37" s="37"/>
      <c r="GC37" s="37"/>
      <c r="GD37" s="37"/>
      <c r="GE37" s="37"/>
      <c r="GF37" s="37"/>
      <c r="GG37" s="37"/>
      <c r="GH37" s="37"/>
      <c r="GI37" s="37"/>
      <c r="GJ37" s="37"/>
      <c r="GK37" s="37"/>
      <c r="GL37" s="37"/>
      <c r="GM37" s="37"/>
      <c r="GN37" s="37"/>
      <c r="GO37" s="37"/>
      <c r="GP37" s="37"/>
      <c r="GQ37" s="37"/>
      <c r="GR37" s="37"/>
      <c r="GS37" s="37"/>
      <c r="GT37" s="37"/>
      <c r="GU37" s="37"/>
      <c r="GV37" s="37"/>
      <c r="GW37" s="37"/>
      <c r="GX37" s="37"/>
      <c r="GY37" s="37"/>
      <c r="GZ37" s="37"/>
      <c r="HA37" s="37"/>
      <c r="HB37" s="37"/>
      <c r="HC37" s="37"/>
      <c r="HD37" s="37"/>
      <c r="HE37" s="37"/>
      <c r="HF37" s="37"/>
      <c r="HG37" s="37"/>
      <c r="HH37" s="37"/>
      <c r="HI37" s="37"/>
      <c r="HJ37" s="37"/>
      <c r="HK37" s="37"/>
      <c r="HL37" s="37"/>
      <c r="HM37" s="37"/>
      <c r="HN37" s="37"/>
      <c r="HO37" s="37"/>
      <c r="HP37" s="37"/>
      <c r="HQ37" s="37"/>
      <c r="HR37" s="37"/>
      <c r="HS37" s="37"/>
      <c r="HT37" s="37"/>
      <c r="HU37" s="37"/>
      <c r="HV37" s="37"/>
      <c r="HW37" s="37"/>
      <c r="HX37" s="37"/>
      <c r="HY37" s="37"/>
      <c r="HZ37" s="37"/>
      <c r="IA37" s="37"/>
      <c r="IB37" s="37"/>
      <c r="IC37" s="37"/>
      <c r="ID37" s="37"/>
      <c r="IE37" s="37"/>
      <c r="IF37" s="37"/>
      <c r="IG37" s="37"/>
      <c r="IH37" s="37"/>
      <c r="II37" s="37"/>
      <c r="IJ37" s="37"/>
      <c r="IK37" s="37"/>
      <c r="IL37" s="37"/>
      <c r="IM37" s="37"/>
      <c r="IN37" s="37"/>
      <c r="IO37" s="37"/>
      <c r="IP37" s="37"/>
      <c r="IQ37" s="37"/>
      <c r="IR37" s="37"/>
      <c r="IS37" s="37"/>
      <c r="IT37" s="37"/>
      <c r="IU37" s="37"/>
      <c r="IV37" s="37"/>
      <c r="IW37" s="37"/>
      <c r="IX37" s="37"/>
      <c r="IY37" s="37"/>
      <c r="IZ37" s="37"/>
      <c r="JA37" s="37"/>
      <c r="JB37" s="37"/>
      <c r="JC37" s="37"/>
      <c r="JD37" s="37"/>
      <c r="JE37" s="37"/>
      <c r="JF37" s="37"/>
      <c r="JG37" s="37"/>
      <c r="JH37" s="37"/>
      <c r="JI37" s="37"/>
      <c r="JJ37" s="37"/>
      <c r="JK37" s="37"/>
      <c r="JL37" s="37"/>
      <c r="JM37" s="37"/>
      <c r="JN37" s="37"/>
      <c r="JO37" s="37"/>
      <c r="JP37" s="37"/>
      <c r="JQ37" s="37"/>
      <c r="JR37" s="37"/>
      <c r="JS37" s="37"/>
      <c r="JT37" s="37"/>
      <c r="JU37" s="37"/>
      <c r="JV37" s="37"/>
      <c r="JW37" s="37"/>
      <c r="JX37" s="37"/>
      <c r="JY37" s="37"/>
      <c r="JZ37" s="37"/>
      <c r="KA37" s="37"/>
      <c r="KB37" s="37"/>
    </row>
    <row r="38" spans="1:288" s="10" customFormat="1" ht="40.200000000000003" customHeight="1" x14ac:dyDescent="0.3">
      <c r="A38" s="3"/>
      <c r="B38" s="46" t="s">
        <v>94</v>
      </c>
      <c r="C38" s="26" t="s">
        <v>63</v>
      </c>
      <c r="D38" s="26" t="s">
        <v>24</v>
      </c>
      <c r="E38" s="27">
        <f t="shared" ref="E38" ca="1" si="15">MIN(1, MAX(0, (TODAY() - F38 + 1) / G38))</f>
        <v>0</v>
      </c>
      <c r="F38" s="28">
        <f>F39-12</f>
        <v>46162</v>
      </c>
      <c r="G38" s="29">
        <v>5</v>
      </c>
      <c r="H38" s="26"/>
      <c r="I38" s="37"/>
      <c r="J38" s="37"/>
      <c r="K38" s="37"/>
      <c r="L38" s="37"/>
      <c r="M38" s="37"/>
      <c r="N38" s="37"/>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K38" s="37"/>
      <c r="DL38" s="37"/>
      <c r="DM38" s="37"/>
      <c r="DN38" s="37"/>
      <c r="DO38" s="37"/>
      <c r="DP38" s="37"/>
      <c r="DQ38" s="37"/>
      <c r="DR38" s="37"/>
      <c r="DS38" s="37"/>
      <c r="DT38" s="37"/>
      <c r="DU38" s="37"/>
      <c r="DV38" s="37"/>
      <c r="DW38" s="37"/>
      <c r="DX38" s="37"/>
      <c r="DY38" s="37"/>
      <c r="DZ38" s="37"/>
      <c r="EA38" s="37"/>
      <c r="EB38" s="37"/>
      <c r="EC38" s="37"/>
      <c r="ED38" s="37"/>
      <c r="EE38" s="37"/>
      <c r="EF38" s="37"/>
      <c r="EG38" s="37"/>
      <c r="EH38" s="37"/>
      <c r="EI38" s="37"/>
      <c r="EJ38" s="37"/>
      <c r="EK38" s="37"/>
      <c r="EL38" s="37"/>
      <c r="EM38" s="37"/>
      <c r="EN38" s="37"/>
      <c r="EO38" s="37"/>
      <c r="EP38" s="37"/>
      <c r="EQ38" s="37"/>
      <c r="ER38" s="37"/>
      <c r="ES38" s="37"/>
      <c r="ET38" s="37"/>
      <c r="EU38" s="37"/>
      <c r="EV38" s="37"/>
      <c r="EW38" s="37"/>
      <c r="EX38" s="37"/>
      <c r="EY38" s="37"/>
      <c r="EZ38" s="37"/>
      <c r="FA38" s="37"/>
      <c r="FB38" s="37"/>
      <c r="FC38" s="37"/>
      <c r="FD38" s="37"/>
      <c r="FE38" s="37"/>
      <c r="FF38" s="37"/>
      <c r="FG38" s="37"/>
      <c r="FH38" s="37"/>
      <c r="FI38" s="37"/>
      <c r="FJ38" s="37"/>
      <c r="FK38" s="37"/>
      <c r="FL38" s="37"/>
      <c r="FM38" s="37"/>
      <c r="FN38" s="37"/>
      <c r="FO38" s="37"/>
      <c r="FP38" s="37"/>
      <c r="FQ38" s="37"/>
      <c r="FR38" s="37"/>
      <c r="FS38" s="37"/>
      <c r="FT38" s="37"/>
      <c r="FU38" s="37"/>
      <c r="FV38" s="37"/>
      <c r="FW38" s="37"/>
      <c r="FX38" s="37"/>
      <c r="FY38" s="37"/>
      <c r="FZ38" s="37"/>
      <c r="GA38" s="37"/>
      <c r="GB38" s="37"/>
      <c r="GC38" s="37"/>
      <c r="GD38" s="37"/>
      <c r="GE38" s="37"/>
      <c r="GF38" s="37"/>
      <c r="GG38" s="37"/>
      <c r="GH38" s="37"/>
      <c r="GI38" s="37"/>
      <c r="GJ38" s="37"/>
      <c r="GK38" s="37"/>
      <c r="GL38" s="37"/>
      <c r="GM38" s="37"/>
      <c r="GN38" s="37"/>
      <c r="GO38" s="37"/>
      <c r="GP38" s="37"/>
      <c r="GQ38" s="37"/>
      <c r="GR38" s="37"/>
      <c r="GS38" s="37"/>
      <c r="GT38" s="37"/>
      <c r="GU38" s="37"/>
      <c r="GV38" s="37"/>
      <c r="GW38" s="37"/>
      <c r="GX38" s="37"/>
      <c r="GY38" s="37"/>
      <c r="GZ38" s="37"/>
      <c r="HA38" s="37"/>
      <c r="HB38" s="37"/>
      <c r="HC38" s="37"/>
      <c r="HD38" s="37"/>
      <c r="HE38" s="37"/>
      <c r="HF38" s="37"/>
      <c r="HG38" s="37"/>
      <c r="HH38" s="37"/>
      <c r="HI38" s="37"/>
      <c r="HJ38" s="37"/>
      <c r="HK38" s="37"/>
      <c r="HL38" s="37"/>
      <c r="HM38" s="37"/>
      <c r="HN38" s="37"/>
      <c r="HO38" s="37"/>
      <c r="HP38" s="37"/>
      <c r="HQ38" s="37"/>
      <c r="HR38" s="37"/>
      <c r="HS38" s="37"/>
      <c r="HT38" s="37"/>
      <c r="HU38" s="37"/>
      <c r="HV38" s="37"/>
      <c r="HW38" s="37"/>
      <c r="HX38" s="37"/>
      <c r="HY38" s="37"/>
      <c r="HZ38" s="37"/>
      <c r="IA38" s="37"/>
      <c r="IB38" s="37"/>
      <c r="IC38" s="37"/>
      <c r="ID38" s="37"/>
      <c r="IE38" s="37"/>
      <c r="IF38" s="37"/>
      <c r="IG38" s="37"/>
      <c r="IH38" s="37"/>
      <c r="II38" s="37"/>
      <c r="IJ38" s="37"/>
      <c r="IK38" s="37"/>
      <c r="IL38" s="37"/>
      <c r="IM38" s="37"/>
      <c r="IN38" s="37"/>
      <c r="IO38" s="37"/>
      <c r="IP38" s="37"/>
      <c r="IQ38" s="37"/>
      <c r="IR38" s="37"/>
      <c r="IS38" s="37"/>
      <c r="IT38" s="37"/>
      <c r="IU38" s="37"/>
      <c r="IV38" s="37"/>
      <c r="IW38" s="37"/>
      <c r="IX38" s="37"/>
      <c r="IY38" s="37"/>
      <c r="IZ38" s="37"/>
      <c r="JA38" s="37"/>
      <c r="JB38" s="37"/>
      <c r="JC38" s="37"/>
      <c r="JD38" s="37"/>
      <c r="JE38" s="37"/>
      <c r="JF38" s="37"/>
      <c r="JG38" s="37"/>
      <c r="JH38" s="37"/>
      <c r="JI38" s="37"/>
      <c r="JJ38" s="37"/>
      <c r="JK38" s="37"/>
      <c r="JL38" s="37"/>
      <c r="JM38" s="37"/>
      <c r="JN38" s="37"/>
      <c r="JO38" s="37"/>
      <c r="JP38" s="37"/>
      <c r="JQ38" s="37"/>
      <c r="JR38" s="37"/>
      <c r="JS38" s="37"/>
      <c r="JT38" s="37"/>
      <c r="JU38" s="37"/>
      <c r="JV38" s="37"/>
      <c r="JW38" s="37"/>
      <c r="JX38" s="37"/>
      <c r="JY38" s="37"/>
      <c r="JZ38" s="37"/>
      <c r="KA38" s="37"/>
      <c r="KB38" s="37"/>
    </row>
    <row r="39" spans="1:288" s="10" customFormat="1" ht="40.200000000000003" customHeight="1" x14ac:dyDescent="0.3">
      <c r="A39" s="3"/>
      <c r="B39" s="47" t="s">
        <v>91</v>
      </c>
      <c r="C39" s="26" t="s">
        <v>64</v>
      </c>
      <c r="D39" s="26" t="s">
        <v>24</v>
      </c>
      <c r="E39" s="27">
        <f t="shared" ca="1" si="14"/>
        <v>0</v>
      </c>
      <c r="F39" s="28">
        <f>Project_Start+218</f>
        <v>46174</v>
      </c>
      <c r="G39" s="29">
        <v>1</v>
      </c>
      <c r="H39" s="26"/>
      <c r="I39" s="37"/>
      <c r="J39" s="37"/>
      <c r="K39" s="37"/>
      <c r="L39" s="37"/>
      <c r="M39" s="37"/>
      <c r="N39" s="37"/>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K39" s="37"/>
      <c r="DL39" s="37"/>
      <c r="DM39" s="37"/>
      <c r="DN39" s="37"/>
      <c r="DO39" s="37"/>
      <c r="DP39" s="37"/>
      <c r="DQ39" s="37"/>
      <c r="DR39" s="37"/>
      <c r="DS39" s="37"/>
      <c r="DT39" s="37"/>
      <c r="DU39" s="37"/>
      <c r="DV39" s="37"/>
      <c r="DW39" s="37"/>
      <c r="DX39" s="37"/>
      <c r="DY39" s="37"/>
      <c r="DZ39" s="37"/>
      <c r="EA39" s="37"/>
      <c r="EB39" s="37"/>
      <c r="EC39" s="37"/>
      <c r="ED39" s="37"/>
      <c r="EE39" s="37"/>
      <c r="EF39" s="37"/>
      <c r="EG39" s="37"/>
      <c r="EH39" s="37"/>
      <c r="EI39" s="37"/>
      <c r="EJ39" s="37"/>
      <c r="EK39" s="37"/>
      <c r="EL39" s="37"/>
      <c r="EM39" s="37"/>
      <c r="EN39" s="37"/>
      <c r="EO39" s="37"/>
      <c r="EP39" s="37"/>
      <c r="EQ39" s="37"/>
      <c r="ER39" s="37"/>
      <c r="ES39" s="37"/>
      <c r="ET39" s="37"/>
      <c r="EU39" s="37"/>
      <c r="EV39" s="37"/>
      <c r="EW39" s="37"/>
      <c r="EX39" s="37"/>
      <c r="EY39" s="37"/>
      <c r="EZ39" s="37"/>
      <c r="FA39" s="37"/>
      <c r="FB39" s="37"/>
      <c r="FC39" s="37"/>
      <c r="FD39" s="37"/>
      <c r="FE39" s="37"/>
      <c r="FF39" s="37"/>
      <c r="FG39" s="37"/>
      <c r="FH39" s="37"/>
      <c r="FI39" s="37"/>
      <c r="FJ39" s="37"/>
      <c r="FK39" s="37"/>
      <c r="FL39" s="37"/>
      <c r="FM39" s="37"/>
      <c r="FN39" s="37"/>
      <c r="FO39" s="37"/>
      <c r="FP39" s="37"/>
      <c r="FQ39" s="37"/>
      <c r="FR39" s="37"/>
      <c r="FS39" s="37"/>
      <c r="FT39" s="37"/>
      <c r="FU39" s="37"/>
      <c r="FV39" s="37"/>
      <c r="FW39" s="37"/>
      <c r="FX39" s="37"/>
      <c r="FY39" s="37"/>
      <c r="FZ39" s="37"/>
      <c r="GA39" s="37"/>
      <c r="GB39" s="37"/>
      <c r="GC39" s="37"/>
      <c r="GD39" s="37"/>
      <c r="GE39" s="37"/>
      <c r="GF39" s="37"/>
      <c r="GG39" s="37"/>
      <c r="GH39" s="37"/>
      <c r="GI39" s="37"/>
      <c r="GJ39" s="37"/>
      <c r="GK39" s="37"/>
      <c r="GL39" s="37"/>
      <c r="GM39" s="37"/>
      <c r="GN39" s="37"/>
      <c r="GO39" s="37"/>
      <c r="GP39" s="37"/>
      <c r="GQ39" s="37"/>
      <c r="GR39" s="37"/>
      <c r="GS39" s="37"/>
      <c r="GT39" s="37"/>
      <c r="GU39" s="37"/>
      <c r="GV39" s="37"/>
      <c r="GW39" s="37"/>
      <c r="GX39" s="37"/>
      <c r="GY39" s="37"/>
      <c r="GZ39" s="37"/>
      <c r="HA39" s="37"/>
      <c r="HB39" s="37"/>
      <c r="HC39" s="37"/>
      <c r="HD39" s="37"/>
      <c r="HE39" s="37"/>
      <c r="HF39" s="37"/>
      <c r="HG39" s="37"/>
      <c r="HH39" s="37"/>
      <c r="HI39" s="37"/>
      <c r="HJ39" s="37"/>
      <c r="HK39" s="37"/>
      <c r="HL39" s="37"/>
      <c r="HM39" s="37"/>
      <c r="HN39" s="37"/>
      <c r="HO39" s="37"/>
      <c r="HP39" s="37"/>
      <c r="HQ39" s="37"/>
      <c r="HR39" s="37"/>
      <c r="HS39" s="37"/>
      <c r="HT39" s="37"/>
      <c r="HU39" s="37"/>
      <c r="HV39" s="37"/>
      <c r="HW39" s="37"/>
      <c r="HX39" s="37"/>
      <c r="HY39" s="37"/>
      <c r="HZ39" s="37"/>
      <c r="IA39" s="37"/>
      <c r="IB39" s="37"/>
      <c r="IC39" s="37"/>
      <c r="ID39" s="37"/>
      <c r="IE39" s="37"/>
      <c r="IF39" s="37"/>
      <c r="IG39" s="37"/>
      <c r="IH39" s="37"/>
      <c r="II39" s="37"/>
      <c r="IJ39" s="37"/>
      <c r="IK39" s="37"/>
      <c r="IL39" s="37"/>
      <c r="IM39" s="37"/>
      <c r="IN39" s="37"/>
      <c r="IO39" s="37"/>
      <c r="IP39" s="37"/>
      <c r="IQ39" s="37"/>
      <c r="IR39" s="37"/>
      <c r="IS39" s="37"/>
      <c r="IT39" s="37"/>
      <c r="IU39" s="37"/>
      <c r="IV39" s="37"/>
      <c r="IW39" s="37"/>
      <c r="IX39" s="37"/>
      <c r="IY39" s="37"/>
      <c r="IZ39" s="37"/>
      <c r="JA39" s="37"/>
      <c r="JB39" s="37"/>
      <c r="JC39" s="37"/>
      <c r="JD39" s="37"/>
      <c r="JE39" s="37"/>
      <c r="JF39" s="37"/>
      <c r="JG39" s="37"/>
      <c r="JH39" s="37"/>
      <c r="JI39" s="37"/>
      <c r="JJ39" s="37"/>
      <c r="JK39" s="37"/>
      <c r="JL39" s="37"/>
      <c r="JM39" s="37"/>
      <c r="JN39" s="37"/>
      <c r="JO39" s="37"/>
      <c r="JP39" s="37"/>
      <c r="JQ39" s="37"/>
      <c r="JR39" s="37"/>
      <c r="JS39" s="37"/>
      <c r="JT39" s="37"/>
      <c r="JU39" s="37"/>
      <c r="JV39" s="37"/>
      <c r="JW39" s="37"/>
      <c r="JX39" s="37"/>
      <c r="JY39" s="37"/>
      <c r="JZ39" s="37"/>
      <c r="KA39" s="37"/>
      <c r="KB39" s="37"/>
    </row>
    <row r="40" spans="1:288" s="10" customFormat="1" ht="40.200000000000003" customHeight="1" x14ac:dyDescent="0.3">
      <c r="A40" s="3"/>
      <c r="B40" s="47" t="s">
        <v>93</v>
      </c>
      <c r="C40" s="26" t="s">
        <v>64</v>
      </c>
      <c r="D40" s="26" t="s">
        <v>24</v>
      </c>
      <c r="E40" s="27">
        <f t="shared" ref="E40" ca="1" si="16">MIN(1, MAX(0, (TODAY() - F40 + 1) / G40))</f>
        <v>0</v>
      </c>
      <c r="F40" s="28">
        <f>Project_Start+218</f>
        <v>46174</v>
      </c>
      <c r="G40" s="29">
        <v>1</v>
      </c>
      <c r="H40" s="26"/>
      <c r="I40" s="37"/>
      <c r="J40" s="37"/>
      <c r="K40" s="37"/>
      <c r="L40" s="37"/>
      <c r="M40" s="37"/>
      <c r="N40" s="37"/>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K40" s="37"/>
      <c r="DL40" s="37"/>
      <c r="DM40" s="37"/>
      <c r="DN40" s="37"/>
      <c r="DO40" s="37"/>
      <c r="DP40" s="37"/>
      <c r="DQ40" s="37"/>
      <c r="DR40" s="37"/>
      <c r="DS40" s="37"/>
      <c r="DT40" s="37"/>
      <c r="DU40" s="37"/>
      <c r="DV40" s="37"/>
      <c r="DW40" s="37"/>
      <c r="DX40" s="37"/>
      <c r="DY40" s="37"/>
      <c r="DZ40" s="37"/>
      <c r="EA40" s="37"/>
      <c r="EB40" s="37"/>
      <c r="EC40" s="37"/>
      <c r="ED40" s="37"/>
      <c r="EE40" s="37"/>
      <c r="EF40" s="37"/>
      <c r="EG40" s="37"/>
      <c r="EH40" s="37"/>
      <c r="EI40" s="37"/>
      <c r="EJ40" s="37"/>
      <c r="EK40" s="37"/>
      <c r="EL40" s="37"/>
      <c r="EM40" s="37"/>
      <c r="EN40" s="37"/>
      <c r="EO40" s="37"/>
      <c r="EP40" s="37"/>
      <c r="EQ40" s="37"/>
      <c r="ER40" s="37"/>
      <c r="ES40" s="37"/>
      <c r="ET40" s="37"/>
      <c r="EU40" s="37"/>
      <c r="EV40" s="37"/>
      <c r="EW40" s="37"/>
      <c r="EX40" s="37"/>
      <c r="EY40" s="37"/>
      <c r="EZ40" s="37"/>
      <c r="FA40" s="37"/>
      <c r="FB40" s="37"/>
      <c r="FC40" s="37"/>
      <c r="FD40" s="37"/>
      <c r="FE40" s="37"/>
      <c r="FF40" s="37"/>
      <c r="FG40" s="37"/>
      <c r="FH40" s="37"/>
      <c r="FI40" s="37"/>
      <c r="FJ40" s="37"/>
      <c r="FK40" s="37"/>
      <c r="FL40" s="37"/>
      <c r="FM40" s="37"/>
      <c r="FN40" s="37"/>
      <c r="FO40" s="37"/>
      <c r="FP40" s="37"/>
      <c r="FQ40" s="37"/>
      <c r="FR40" s="37"/>
      <c r="FS40" s="37"/>
      <c r="FT40" s="37"/>
      <c r="FU40" s="37"/>
      <c r="FV40" s="37"/>
      <c r="FW40" s="37"/>
      <c r="FX40" s="37"/>
      <c r="FY40" s="37"/>
      <c r="FZ40" s="37"/>
      <c r="GA40" s="37"/>
      <c r="GB40" s="37"/>
      <c r="GC40" s="37"/>
      <c r="GD40" s="37"/>
      <c r="GE40" s="37"/>
      <c r="GF40" s="37"/>
      <c r="GG40" s="37"/>
      <c r="GH40" s="37"/>
      <c r="GI40" s="37"/>
      <c r="GJ40" s="37"/>
      <c r="GK40" s="37"/>
      <c r="GL40" s="37"/>
      <c r="GM40" s="37"/>
      <c r="GN40" s="37"/>
      <c r="GO40" s="37"/>
      <c r="GP40" s="37"/>
      <c r="GQ40" s="37"/>
      <c r="GR40" s="37"/>
      <c r="GS40" s="37"/>
      <c r="GT40" s="37"/>
      <c r="GU40" s="37"/>
      <c r="GV40" s="37"/>
      <c r="GW40" s="37"/>
      <c r="GX40" s="37"/>
      <c r="GY40" s="37"/>
      <c r="GZ40" s="37"/>
      <c r="HA40" s="37"/>
      <c r="HB40" s="37"/>
      <c r="HC40" s="37"/>
      <c r="HD40" s="37"/>
      <c r="HE40" s="37"/>
      <c r="HF40" s="37"/>
      <c r="HG40" s="37"/>
      <c r="HH40" s="37"/>
      <c r="HI40" s="37"/>
      <c r="HJ40" s="37"/>
      <c r="HK40" s="37"/>
      <c r="HL40" s="37"/>
      <c r="HM40" s="37"/>
      <c r="HN40" s="37"/>
      <c r="HO40" s="37"/>
      <c r="HP40" s="37"/>
      <c r="HQ40" s="37"/>
      <c r="HR40" s="37"/>
      <c r="HS40" s="37"/>
      <c r="HT40" s="37"/>
      <c r="HU40" s="37"/>
      <c r="HV40" s="37"/>
      <c r="HW40" s="37"/>
      <c r="HX40" s="37"/>
      <c r="HY40" s="37"/>
      <c r="HZ40" s="37"/>
      <c r="IA40" s="37"/>
      <c r="IB40" s="37"/>
      <c r="IC40" s="37"/>
      <c r="ID40" s="37"/>
      <c r="IE40" s="37"/>
      <c r="IF40" s="37"/>
      <c r="IG40" s="37"/>
      <c r="IH40" s="37"/>
      <c r="II40" s="37"/>
      <c r="IJ40" s="37"/>
      <c r="IK40" s="37"/>
      <c r="IL40" s="37"/>
      <c r="IM40" s="37"/>
      <c r="IN40" s="37"/>
      <c r="IO40" s="37"/>
      <c r="IP40" s="37"/>
      <c r="IQ40" s="37"/>
      <c r="IR40" s="37"/>
      <c r="IS40" s="37"/>
      <c r="IT40" s="37"/>
      <c r="IU40" s="37"/>
      <c r="IV40" s="37"/>
      <c r="IW40" s="37"/>
      <c r="IX40" s="37"/>
      <c r="IY40" s="37"/>
      <c r="IZ40" s="37"/>
      <c r="JA40" s="37"/>
      <c r="JB40" s="37"/>
      <c r="JC40" s="37"/>
      <c r="JD40" s="37"/>
      <c r="JE40" s="37"/>
      <c r="JF40" s="37"/>
      <c r="JG40" s="37"/>
      <c r="JH40" s="37"/>
      <c r="JI40" s="37"/>
      <c r="JJ40" s="37"/>
      <c r="JK40" s="37"/>
      <c r="JL40" s="37"/>
      <c r="JM40" s="37"/>
      <c r="JN40" s="37"/>
      <c r="JO40" s="37"/>
      <c r="JP40" s="37"/>
      <c r="JQ40" s="37"/>
      <c r="JR40" s="37"/>
      <c r="JS40" s="37"/>
      <c r="JT40" s="37"/>
      <c r="JU40" s="37"/>
      <c r="JV40" s="37"/>
      <c r="JW40" s="37"/>
      <c r="JX40" s="37"/>
      <c r="JY40" s="37"/>
      <c r="JZ40" s="37"/>
      <c r="KA40" s="37"/>
      <c r="KB40" s="37"/>
    </row>
    <row r="41" spans="1:288" s="10" customFormat="1" ht="40.200000000000003" customHeight="1" x14ac:dyDescent="0.3">
      <c r="A41" s="3"/>
      <c r="B41" s="47" t="s">
        <v>96</v>
      </c>
      <c r="C41" s="26" t="s">
        <v>64</v>
      </c>
      <c r="D41" s="26" t="s">
        <v>24</v>
      </c>
      <c r="E41" s="27">
        <f t="shared" ref="E41" ca="1" si="17">MIN(1, MAX(0, (TODAY() - F41 + 1) / G41))</f>
        <v>0</v>
      </c>
      <c r="F41" s="28">
        <f>Project_Start+231</f>
        <v>46187</v>
      </c>
      <c r="G41" s="29">
        <v>5</v>
      </c>
      <c r="H41" s="26"/>
      <c r="I41" s="37"/>
      <c r="J41" s="37"/>
      <c r="K41" s="37"/>
      <c r="L41" s="37"/>
      <c r="M41" s="37"/>
      <c r="N41" s="37"/>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K41" s="37"/>
      <c r="DL41" s="37"/>
      <c r="DM41" s="37"/>
      <c r="DN41" s="37"/>
      <c r="DO41" s="37"/>
      <c r="DP41" s="37"/>
      <c r="DQ41" s="37"/>
      <c r="DR41" s="37"/>
      <c r="DS41" s="37"/>
      <c r="DT41" s="37"/>
      <c r="DU41" s="37"/>
      <c r="DV41" s="37"/>
      <c r="DW41" s="37"/>
      <c r="DX41" s="37"/>
      <c r="DY41" s="37"/>
      <c r="DZ41" s="37"/>
      <c r="EA41" s="37"/>
      <c r="EB41" s="37"/>
      <c r="EC41" s="37"/>
      <c r="ED41" s="37"/>
      <c r="EE41" s="37"/>
      <c r="EF41" s="37"/>
      <c r="EG41" s="37"/>
      <c r="EH41" s="37"/>
      <c r="EI41" s="37"/>
      <c r="EJ41" s="37"/>
      <c r="EK41" s="37"/>
      <c r="EL41" s="37"/>
      <c r="EM41" s="37"/>
      <c r="EN41" s="37"/>
      <c r="EO41" s="37"/>
      <c r="EP41" s="37"/>
      <c r="EQ41" s="37"/>
      <c r="ER41" s="37"/>
      <c r="ES41" s="37"/>
      <c r="ET41" s="37"/>
      <c r="EU41" s="37"/>
      <c r="EV41" s="37"/>
      <c r="EW41" s="37"/>
      <c r="EX41" s="37"/>
      <c r="EY41" s="37"/>
      <c r="EZ41" s="37"/>
      <c r="FA41" s="37"/>
      <c r="FB41" s="37"/>
      <c r="FC41" s="37"/>
      <c r="FD41" s="37"/>
      <c r="FE41" s="37"/>
      <c r="FF41" s="37"/>
      <c r="FG41" s="37"/>
      <c r="FH41" s="37"/>
      <c r="FI41" s="37"/>
      <c r="FJ41" s="37"/>
      <c r="FK41" s="37"/>
      <c r="FL41" s="37"/>
      <c r="FM41" s="37"/>
      <c r="FN41" s="37"/>
      <c r="FO41" s="37"/>
      <c r="FP41" s="37"/>
      <c r="FQ41" s="37"/>
      <c r="FR41" s="37"/>
      <c r="FS41" s="37"/>
      <c r="FT41" s="37"/>
      <c r="FU41" s="37"/>
      <c r="FV41" s="37"/>
      <c r="FW41" s="37"/>
      <c r="FX41" s="37"/>
      <c r="FY41" s="37"/>
      <c r="FZ41" s="37"/>
      <c r="GA41" s="37"/>
      <c r="GB41" s="37"/>
      <c r="GC41" s="37"/>
      <c r="GD41" s="37"/>
      <c r="GE41" s="37"/>
      <c r="GF41" s="37"/>
      <c r="GG41" s="37"/>
      <c r="GH41" s="37"/>
      <c r="GI41" s="37"/>
      <c r="GJ41" s="37"/>
      <c r="GK41" s="37"/>
      <c r="GL41" s="37"/>
      <c r="GM41" s="37"/>
      <c r="GN41" s="37"/>
      <c r="GO41" s="37"/>
      <c r="GP41" s="37"/>
      <c r="GQ41" s="37"/>
      <c r="GR41" s="37"/>
      <c r="GS41" s="37"/>
      <c r="GT41" s="37"/>
      <c r="GU41" s="37"/>
      <c r="GV41" s="37"/>
      <c r="GW41" s="37"/>
      <c r="GX41" s="37"/>
      <c r="GY41" s="37"/>
      <c r="GZ41" s="37"/>
      <c r="HA41" s="37"/>
      <c r="HB41" s="37"/>
      <c r="HC41" s="37"/>
      <c r="HD41" s="37"/>
      <c r="HE41" s="37"/>
      <c r="HF41" s="37"/>
      <c r="HG41" s="37"/>
      <c r="HH41" s="37"/>
      <c r="HI41" s="37"/>
      <c r="HJ41" s="37"/>
      <c r="HK41" s="37"/>
      <c r="HL41" s="37"/>
      <c r="HM41" s="37"/>
      <c r="HN41" s="37"/>
      <c r="HO41" s="37"/>
      <c r="HP41" s="37"/>
      <c r="HQ41" s="37"/>
      <c r="HR41" s="37"/>
      <c r="HS41" s="37"/>
      <c r="HT41" s="37"/>
      <c r="HU41" s="37"/>
      <c r="HV41" s="37"/>
      <c r="HW41" s="37"/>
      <c r="HX41" s="37"/>
      <c r="HY41" s="37"/>
      <c r="HZ41" s="37"/>
      <c r="IA41" s="37"/>
      <c r="IB41" s="37"/>
      <c r="IC41" s="37"/>
      <c r="ID41" s="37"/>
      <c r="IE41" s="37"/>
      <c r="IF41" s="37"/>
      <c r="IG41" s="37"/>
      <c r="IH41" s="37"/>
      <c r="II41" s="37"/>
      <c r="IJ41" s="37"/>
      <c r="IK41" s="37"/>
      <c r="IL41" s="37"/>
      <c r="IM41" s="37"/>
      <c r="IN41" s="37"/>
      <c r="IO41" s="37"/>
      <c r="IP41" s="37"/>
      <c r="IQ41" s="37"/>
      <c r="IR41" s="37"/>
      <c r="IS41" s="37"/>
      <c r="IT41" s="37"/>
      <c r="IU41" s="37"/>
      <c r="IV41" s="37"/>
      <c r="IW41" s="37"/>
      <c r="IX41" s="37"/>
      <c r="IY41" s="37"/>
      <c r="IZ41" s="37"/>
      <c r="JA41" s="37"/>
      <c r="JB41" s="37"/>
      <c r="JC41" s="37"/>
      <c r="JD41" s="37"/>
      <c r="JE41" s="37"/>
      <c r="JF41" s="37"/>
      <c r="JG41" s="37"/>
      <c r="JH41" s="37"/>
      <c r="JI41" s="37"/>
      <c r="JJ41" s="37"/>
      <c r="JK41" s="37"/>
      <c r="JL41" s="37"/>
      <c r="JM41" s="37"/>
      <c r="JN41" s="37"/>
      <c r="JO41" s="37"/>
      <c r="JP41" s="37"/>
      <c r="JQ41" s="37"/>
      <c r="JR41" s="37"/>
      <c r="JS41" s="37"/>
      <c r="JT41" s="37"/>
      <c r="JU41" s="37"/>
      <c r="JV41" s="37"/>
      <c r="JW41" s="37"/>
      <c r="JX41" s="37"/>
      <c r="JY41" s="37"/>
      <c r="JZ41" s="37"/>
      <c r="KA41" s="37"/>
      <c r="KB41" s="37"/>
    </row>
    <row r="42" spans="1:288" s="10" customFormat="1" ht="40.200000000000003" customHeight="1" x14ac:dyDescent="0.3">
      <c r="A42" s="3"/>
      <c r="B42" s="47" t="s">
        <v>95</v>
      </c>
      <c r="C42" s="26" t="s">
        <v>64</v>
      </c>
      <c r="D42" s="26" t="s">
        <v>24</v>
      </c>
      <c r="E42" s="27">
        <f t="shared" ref="E42" ca="1" si="18">MIN(1, MAX(0, (TODAY() - F42 + 1) / G42))</f>
        <v>0</v>
      </c>
      <c r="F42" s="28">
        <f>Project_Start+277</f>
        <v>46233</v>
      </c>
      <c r="G42" s="29">
        <v>1</v>
      </c>
      <c r="H42" s="26"/>
      <c r="I42" s="37"/>
      <c r="J42" s="37"/>
      <c r="K42" s="37"/>
      <c r="L42" s="37"/>
      <c r="M42" s="37"/>
      <c r="N42" s="37"/>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K42" s="37"/>
      <c r="DL42" s="37"/>
      <c r="DM42" s="37"/>
      <c r="DN42" s="37"/>
      <c r="DO42" s="37"/>
      <c r="DP42" s="37"/>
      <c r="DQ42" s="37"/>
      <c r="DR42" s="37"/>
      <c r="DS42" s="37"/>
      <c r="DT42" s="37"/>
      <c r="DU42" s="37"/>
      <c r="DV42" s="37"/>
      <c r="DW42" s="37"/>
      <c r="DX42" s="37"/>
      <c r="DY42" s="37"/>
      <c r="DZ42" s="37"/>
      <c r="EA42" s="37"/>
      <c r="EB42" s="37"/>
      <c r="EC42" s="37"/>
      <c r="ED42" s="37"/>
      <c r="EE42" s="37"/>
      <c r="EF42" s="37"/>
      <c r="EG42" s="37"/>
      <c r="EH42" s="37"/>
      <c r="EI42" s="37"/>
      <c r="EJ42" s="37"/>
      <c r="EK42" s="37"/>
      <c r="EL42" s="37"/>
      <c r="EM42" s="37"/>
      <c r="EN42" s="37"/>
      <c r="EO42" s="37"/>
      <c r="EP42" s="37"/>
      <c r="EQ42" s="37"/>
      <c r="ER42" s="37"/>
      <c r="ES42" s="37"/>
      <c r="ET42" s="37"/>
      <c r="EU42" s="37"/>
      <c r="EV42" s="37"/>
      <c r="EW42" s="37"/>
      <c r="EX42" s="37"/>
      <c r="EY42" s="37"/>
      <c r="EZ42" s="37"/>
      <c r="FA42" s="37"/>
      <c r="FB42" s="37"/>
      <c r="FC42" s="37"/>
      <c r="FD42" s="37"/>
      <c r="FE42" s="37"/>
      <c r="FF42" s="37"/>
      <c r="FG42" s="37"/>
      <c r="FH42" s="37"/>
      <c r="FI42" s="37"/>
      <c r="FJ42" s="37"/>
      <c r="FK42" s="37"/>
      <c r="FL42" s="37"/>
      <c r="FM42" s="37"/>
      <c r="FN42" s="37"/>
      <c r="FO42" s="37"/>
      <c r="FP42" s="37"/>
      <c r="FQ42" s="37"/>
      <c r="FR42" s="37"/>
      <c r="FS42" s="37"/>
      <c r="FT42" s="37"/>
      <c r="FU42" s="37"/>
      <c r="FV42" s="37"/>
      <c r="FW42" s="37"/>
      <c r="FX42" s="37"/>
      <c r="FY42" s="37"/>
      <c r="FZ42" s="37"/>
      <c r="GA42" s="37"/>
      <c r="GB42" s="37"/>
      <c r="GC42" s="37"/>
      <c r="GD42" s="37"/>
      <c r="GE42" s="37"/>
      <c r="GF42" s="37"/>
      <c r="GG42" s="37"/>
      <c r="GH42" s="37"/>
      <c r="GI42" s="37"/>
      <c r="GJ42" s="37"/>
      <c r="GK42" s="37"/>
      <c r="GL42" s="37"/>
      <c r="GM42" s="37"/>
      <c r="GN42" s="37"/>
      <c r="GO42" s="37"/>
      <c r="GP42" s="37"/>
      <c r="GQ42" s="37"/>
      <c r="GR42" s="37"/>
      <c r="GS42" s="37"/>
      <c r="GT42" s="37"/>
      <c r="GU42" s="37"/>
      <c r="GV42" s="37"/>
      <c r="GW42" s="37"/>
      <c r="GX42" s="37"/>
      <c r="GY42" s="37"/>
      <c r="GZ42" s="37"/>
      <c r="HA42" s="37"/>
      <c r="HB42" s="37"/>
      <c r="HC42" s="37"/>
      <c r="HD42" s="37"/>
      <c r="HE42" s="37"/>
      <c r="HF42" s="37"/>
      <c r="HG42" s="37"/>
      <c r="HH42" s="37"/>
      <c r="HI42" s="37"/>
      <c r="HJ42" s="37"/>
      <c r="HK42" s="37"/>
      <c r="HL42" s="37"/>
      <c r="HM42" s="37"/>
      <c r="HN42" s="37"/>
      <c r="HO42" s="37"/>
      <c r="HP42" s="37"/>
      <c r="HQ42" s="37"/>
      <c r="HR42" s="37"/>
      <c r="HS42" s="37"/>
      <c r="HT42" s="37"/>
      <c r="HU42" s="37"/>
      <c r="HV42" s="37"/>
      <c r="HW42" s="37"/>
      <c r="HX42" s="37"/>
      <c r="HY42" s="37"/>
      <c r="HZ42" s="37"/>
      <c r="IA42" s="37"/>
      <c r="IB42" s="37"/>
      <c r="IC42" s="37"/>
      <c r="ID42" s="37"/>
      <c r="IE42" s="37"/>
      <c r="IF42" s="37"/>
      <c r="IG42" s="37"/>
      <c r="IH42" s="37"/>
      <c r="II42" s="37"/>
      <c r="IJ42" s="37"/>
      <c r="IK42" s="37"/>
      <c r="IL42" s="37"/>
      <c r="IM42" s="37"/>
      <c r="IN42" s="37"/>
      <c r="IO42" s="37"/>
      <c r="IP42" s="37"/>
      <c r="IQ42" s="37"/>
      <c r="IR42" s="37"/>
      <c r="IS42" s="37"/>
      <c r="IT42" s="37"/>
      <c r="IU42" s="37"/>
      <c r="IV42" s="37"/>
      <c r="IW42" s="37"/>
      <c r="IX42" s="37"/>
      <c r="IY42" s="37"/>
      <c r="IZ42" s="37"/>
      <c r="JA42" s="37"/>
      <c r="JB42" s="37"/>
      <c r="JC42" s="37"/>
      <c r="JD42" s="37"/>
      <c r="JE42" s="37"/>
      <c r="JF42" s="37"/>
      <c r="JG42" s="37"/>
      <c r="JH42" s="37"/>
      <c r="JI42" s="37"/>
      <c r="JJ42" s="37"/>
      <c r="JK42" s="37"/>
      <c r="JL42" s="37"/>
      <c r="JM42" s="37"/>
      <c r="JN42" s="37"/>
      <c r="JO42" s="37"/>
      <c r="JP42" s="37"/>
      <c r="JQ42" s="37"/>
      <c r="JR42" s="37"/>
      <c r="JS42" s="37"/>
      <c r="JT42" s="37"/>
      <c r="JU42" s="37"/>
      <c r="JV42" s="37"/>
      <c r="JW42" s="37"/>
      <c r="JX42" s="37"/>
      <c r="JY42" s="37"/>
      <c r="JZ42" s="37"/>
      <c r="KA42" s="37"/>
      <c r="KB42" s="37"/>
    </row>
    <row r="43" spans="1:288" ht="30" customHeight="1" x14ac:dyDescent="0.3">
      <c r="D43" s="31"/>
      <c r="G43" s="32"/>
      <c r="H43" s="33"/>
    </row>
    <row r="44" spans="1:288" ht="30" customHeight="1" x14ac:dyDescent="0.3">
      <c r="D44" s="34"/>
    </row>
  </sheetData>
  <mergeCells count="58">
    <mergeCell ref="IT8:IZ8"/>
    <mergeCell ref="JA8:JG8"/>
    <mergeCell ref="JH8:JN8"/>
    <mergeCell ref="JO8:JU8"/>
    <mergeCell ref="JV8:KB8"/>
    <mergeCell ref="IW7:KB7"/>
    <mergeCell ref="GW8:HC8"/>
    <mergeCell ref="HD8:HJ8"/>
    <mergeCell ref="FJ7:GM7"/>
    <mergeCell ref="GN7:HR7"/>
    <mergeCell ref="HS7:IV7"/>
    <mergeCell ref="HK8:HQ8"/>
    <mergeCell ref="HR8:HX8"/>
    <mergeCell ref="HY8:IE8"/>
    <mergeCell ref="IF8:IL8"/>
    <mergeCell ref="IM8:IS8"/>
    <mergeCell ref="FN8:FT8"/>
    <mergeCell ref="FU8:GA8"/>
    <mergeCell ref="GB8:GH8"/>
    <mergeCell ref="GI8:GO8"/>
    <mergeCell ref="GP8:GV8"/>
    <mergeCell ref="EL8:ER8"/>
    <mergeCell ref="ES8:EY8"/>
    <mergeCell ref="EZ8:FF8"/>
    <mergeCell ref="DC7:ED7"/>
    <mergeCell ref="EE7:FI7"/>
    <mergeCell ref="FG8:FM8"/>
    <mergeCell ref="DC8:DI8"/>
    <mergeCell ref="DJ8:DP8"/>
    <mergeCell ref="DQ8:DW8"/>
    <mergeCell ref="DX8:ED8"/>
    <mergeCell ref="EE8:EK8"/>
    <mergeCell ref="BX7:DB7"/>
    <mergeCell ref="BT8:BZ8"/>
    <mergeCell ref="CA8:CG8"/>
    <mergeCell ref="CH8:CN8"/>
    <mergeCell ref="CO8:CU8"/>
    <mergeCell ref="CV8:DB8"/>
    <mergeCell ref="AR8:AX8"/>
    <mergeCell ref="AY8:BE8"/>
    <mergeCell ref="BF8:BL8"/>
    <mergeCell ref="BM8:BS8"/>
    <mergeCell ref="AS7:BW7"/>
    <mergeCell ref="I8:O8"/>
    <mergeCell ref="P8:V8"/>
    <mergeCell ref="W8:AC8"/>
    <mergeCell ref="AD8:AJ8"/>
    <mergeCell ref="AK8:AQ8"/>
    <mergeCell ref="B2:H2"/>
    <mergeCell ref="AI4:AN4"/>
    <mergeCell ref="AP4:AZ4"/>
    <mergeCell ref="I7:N7"/>
    <mergeCell ref="O7:AR7"/>
    <mergeCell ref="I2:KB2"/>
    <mergeCell ref="BB4:BM4"/>
    <mergeCell ref="BO4:BZ4"/>
    <mergeCell ref="L4:T4"/>
    <mergeCell ref="V4:AG4"/>
  </mergeCells>
  <phoneticPr fontId="23" type="noConversion"/>
  <conditionalFormatting sqref="E11:E42">
    <cfRule type="dataBar" priority="194">
      <dataBar>
        <cfvo type="min"/>
        <cfvo type="max"/>
        <color rgb="FF63C384"/>
      </dataBar>
      <extLst>
        <ext xmlns:x14="http://schemas.microsoft.com/office/spreadsheetml/2009/9/main" uri="{B025F937-C7B1-47D3-B67F-A62EFF666E3E}">
          <x14:id>{5DF0070B-B32F-4CE9-83E5-5F58BB435C17}</x14:id>
        </ext>
      </extLst>
    </cfRule>
  </conditionalFormatting>
  <conditionalFormatting sqref="I9:KB9">
    <cfRule type="expression" dxfId="7" priority="2">
      <formula>I$9=TODAY()</formula>
    </cfRule>
  </conditionalFormatting>
  <conditionalFormatting sqref="I9:KB42">
    <cfRule type="expression" dxfId="6" priority="1">
      <formula>I$9=TODAY()</formula>
    </cfRule>
  </conditionalFormatting>
  <conditionalFormatting sqref="I11:KB42">
    <cfRule type="expression" dxfId="5" priority="143">
      <formula>AND($C11="Bureaucracy &amp; Procurement", I$9&gt;=$F11, I$9&lt;($F11+$G11))</formula>
    </cfRule>
    <cfRule type="expression" dxfId="4" priority="144">
      <formula>AND($C11="Progress Monitoring &amp; Mentorship", I$9&gt;=$F11, I$9&lt;($F11+$G11))</formula>
    </cfRule>
    <cfRule type="expression" dxfId="3" priority="145">
      <formula>AND($C11="Evaluation &amp; Visual Interface", I$9&gt;=$F11, I$9&lt;($F11+$G11))</formula>
    </cfRule>
    <cfRule type="expression" dxfId="2" priority="146">
      <formula>AND($C11="Documentation", I$9&gt;=$F11, I$9&lt;($F11+$G11))</formula>
    </cfRule>
    <cfRule type="expression" dxfId="1" priority="147">
      <formula>AND($C11="Development &amp; Implementation", I$9&gt;=$F11, I$9&lt;($F11+$G11))</formula>
    </cfRule>
    <cfRule type="expression" dxfId="0" priority="148">
      <formula>AND($C11="Planning &amp; Preparation", I$9&gt;=$F11, I$9&lt;($F11+$G11))</formula>
    </cfRule>
  </conditionalFormatting>
  <dataValidations count="11">
    <dataValidation type="whole" operator="greaterThanOrEqual" allowBlank="1" showInputMessage="1" promptTitle="Scrolling Increment" prompt="Changing this number will scroll the Gantt Chart view." sqref="C7" xr:uid="{662A47A0-7258-440E-8D71-BC54CBC9C651}">
      <formula1>0</formula1>
    </dataValidation>
    <dataValidation type="list" allowBlank="1" showInputMessage="1" showErrorMessage="1" sqref="C10" xr:uid="{12A8278F-D51D-4B98-A311-DB5FCD18D214}">
      <formula1>"Goal,Milestone,On Track, Low Risk, Med Risk, High Risk"</formula1>
    </dataValidation>
    <dataValidation allowBlank="1" showInputMessage="1" showErrorMessage="1" promptTitle="Create a Gantt Chart " prompt="Enter title of this project in cell B2. _x000a_Information about how to use this worksheet, including instructions for screen readers and the author of this workbook is in the About worksheet._x000a_Continue navigating down column A to hear further instructions." sqref="A2" xr:uid="{E4602294-DCCD-4B4D-A916-B5520C80CF80}"/>
    <dataValidation allowBlank="1" showInputMessage="1" showErrorMessage="1" prompt="Enter Company Name in cell B4._x000a_A legend is in cells I4 through AC4.  The Legend label is in cell G4." sqref="A4" xr:uid="{162198D7-BB96-453A-BB1C-71A472FB68F5}"/>
    <dataValidation allowBlank="1" showInputMessage="1" showErrorMessage="1" prompt="Enter the name of the Project Lead in cell B5. Enter the Project Start date in cell C6 or allow the sample formula to find the smallest date value from the Gantt Data table.  _x000a_Project Start Date: label is in cell B6." sqref="A5" xr:uid="{9BBE640D-6E85-4D9D-AF8E-654ECD5CE97D}"/>
    <dataValidation allowBlank="1" showInputMessage="1" showErrorMessage="1" prompt="A Scrolling Increment is in cell C7. _x000a_Months for the dates in row 7 are displayed starting in cells I6 through cell BL6._x000a_Do not modify these cells. They are auto updated based on the project start date in cell F6." sqref="A6" xr:uid="{D018285A-B1BB-4604-A67E-E25F048BC864}"/>
    <dataValidation allowBlank="1" showInputMessage="1" showErrorMessage="1" prompt="Cells I9 through BL9 contain the day number of the month for the Month represented in the cell block above each date cell and are auto calculated._x000a_Do not modify these cells._x000a_" sqref="A7" xr:uid="{1544BB7A-7F3E-469D-9CB6-4B9BACED7ACE}"/>
    <dataValidation allowBlank="1" showInputMessage="1" showErrorMessage="1" prompt="A scrollbar is in cells I8 through BL8. _x000a_To jump forward or backward in the timeline, enter a value of 0 or higher in cell C7._x000a_A value of 0 takes you to the beginning of the chart." sqref="A8" xr:uid="{737D7247-B514-41B2-94CC-2F538E17DE66}"/>
    <dataValidation allowBlank="1" showInputMessage="1" showErrorMessage="1" prompt="This row contains headers for the project schedule.  B9 through G9 contains schedule information.  Cells I9 through BL9 contain the first letter of each day of the week for the date above that heading._x000a_All project timeline charting is auto generated." sqref="A9" xr:uid="{6AB925DC-9BC9-4EC3-A848-25121289EECD}"/>
    <dataValidation allowBlank="1" showInputMessage="1" showErrorMessage="1" prompt="This is an empty row" sqref="A42" xr:uid="{60F6BB2A-523D-41BA-B324-85E19FB9FF7E}"/>
    <dataValidation type="list" allowBlank="1" showInputMessage="1" showErrorMessage="1" sqref="C11:C29 C30:C42" xr:uid="{D7349582-135C-4EFA-A0E2-8B2F31FF44BE}">
      <formula1>"Planning &amp; Preparation, Development &amp; Implementation, Documentation, Evaluation &amp; Visual Interface, Progress Monitoring &amp; Mentorship, Bureaucracy &amp; Procurement"</formula1>
    </dataValidation>
  </dataValidations>
  <printOptions horizontalCentered="1"/>
  <pageMargins left="0.25" right="0.25" top="0.5" bottom="0.5" header="0.3" footer="0.3"/>
  <pageSetup scale="45" fitToHeight="0" orientation="landscape" r:id="rId1"/>
  <headerFooter differentFirst="1" scaleWithDoc="0">
    <oddFooter>Page &amp;P of &amp;N</oddFooter>
  </headerFooter>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5DF0070B-B32F-4CE9-83E5-5F58BB435C17}">
            <x14:dataBar minLength="0" maxLength="100" gradient="0">
              <x14:cfvo type="autoMin"/>
              <x14:cfvo type="autoMax"/>
              <x14:negativeFillColor rgb="FFFF0000"/>
              <x14:axisColor rgb="FF000000"/>
            </x14:dataBar>
          </x14:cfRule>
          <xm:sqref>E11:E42</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Background xmlns="71af3243-3dd4-4a8d-8c0d-dd76da1f02a5">false</Background>
    <Status xmlns="71af3243-3dd4-4a8d-8c0d-dd76da1f02a5">Not started</Status>
    <_ip_UnifiedCompliancePolicyUIAction xmlns="http://schemas.microsoft.com/sharepoint/v3" xsi:nil="true"/>
    <Image xmlns="71af3243-3dd4-4a8d-8c0d-dd76da1f02a5">
      <Url xsi:nil="true"/>
      <Description xsi:nil="true"/>
    </Image>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CF181E67-B5A5-4E32-9D0A-4494603D7B3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9C5315E-9A69-4EEB-ACCD-0F886FBF12FB}">
  <ds:schemaRefs>
    <ds:schemaRef ds:uri="http://schemas.microsoft.com/sharepoint/v3/contenttype/forms"/>
  </ds:schemaRefs>
</ds:datastoreItem>
</file>

<file path=customXml/itemProps3.xml><?xml version="1.0" encoding="utf-8"?>
<ds:datastoreItem xmlns:ds="http://schemas.openxmlformats.org/officeDocument/2006/customXml" ds:itemID="{11AAADB5-F91F-44CE-8CB6-D8472D59D975}">
  <ds:schemaRefs>
    <ds:schemaRef ds:uri="http://schemas.microsoft.com/office/2006/metadata/properties"/>
    <ds:schemaRef ds:uri="http://schemas.microsoft.com/office/infopath/2007/PartnerControls"/>
    <ds:schemaRef ds:uri="71af3243-3dd4-4a8d-8c0d-dd76da1f02a5"/>
    <ds:schemaRef ds:uri="http://schemas.microsoft.com/sharepoint/v3"/>
    <ds:schemaRef ds:uri="230e9df3-be65-4c73-a93b-d1236ebd677e"/>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TM55723235</Template>
  <Application>Microsoft Excel</Application>
  <DocSecurity>0</DocSecurity>
  <ScaleCrop>false</ScaleCrop>
  <HeadingPairs>
    <vt:vector size="4" baseType="variant">
      <vt:variant>
        <vt:lpstr>גליונות עבודה</vt:lpstr>
      </vt:variant>
      <vt:variant>
        <vt:i4>1</vt:i4>
      </vt:variant>
      <vt:variant>
        <vt:lpstr>טווחים בעלי שם</vt:lpstr>
      </vt:variant>
      <vt:variant>
        <vt:i4>3</vt:i4>
      </vt:variant>
    </vt:vector>
  </HeadingPairs>
  <TitlesOfParts>
    <vt:vector size="4" baseType="lpstr">
      <vt:lpstr>Light</vt:lpstr>
      <vt:lpstr>Light!Project_Start</vt:lpstr>
      <vt:lpstr>Light!Scrolling_Increment</vt:lpstr>
      <vt:lpstr>Light!WPrint_TitlesW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2023-01-31T06:47:08Z</dcterms:created>
  <dcterms:modified xsi:type="dcterms:W3CDTF">2025-11-13T07:41:12Z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